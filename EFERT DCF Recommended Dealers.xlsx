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i.ghulam\Desktop\SCF\EFERT DCF\"/>
    </mc:Choice>
  </mc:AlternateContent>
  <bookViews>
    <workbookView xWindow="-108" yWindow="-108" windowWidth="23256" windowHeight="12456"/>
  </bookViews>
  <sheets>
    <sheet name="DCF list 2026" sheetId="1" r:id="rId1"/>
    <sheet name="Summary" sheetId="4" r:id="rId2"/>
    <sheet name="Sheet1" sheetId="2" state="hidden" r:id="rId3"/>
    <sheet name="Sheet2" sheetId="3" state="hidden" r:id="rId4"/>
  </sheets>
  <definedNames>
    <definedName name="_xlnm._FilterDatabase" localSheetId="0" hidden="1">'DCF list 2026'!$A$17:$AE$74</definedName>
    <definedName name="_xlnm._FilterDatabase" localSheetId="2" hidden="1">Sheet1!$A$1:$G$20</definedName>
    <definedName name="_xlnm.Print_Area" localSheetId="0">'DCF list 2026'!$A$1:$AE$74</definedName>
  </definedNames>
  <calcPr calcId="162913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18" i="1"/>
</calcChain>
</file>

<file path=xl/sharedStrings.xml><?xml version="1.0" encoding="utf-8"?>
<sst xmlns="http://schemas.openxmlformats.org/spreadsheetml/2006/main" count="1056" uniqueCount="465">
  <si>
    <t>Category</t>
  </si>
  <si>
    <t>Detail</t>
  </si>
  <si>
    <t>A</t>
  </si>
  <si>
    <t>B</t>
  </si>
  <si>
    <t>C</t>
  </si>
  <si>
    <t>Business Address</t>
  </si>
  <si>
    <t>Region</t>
  </si>
  <si>
    <t>Territory</t>
  </si>
  <si>
    <t>CNIC Number</t>
  </si>
  <si>
    <t>NTN Number</t>
  </si>
  <si>
    <t>Contact Number</t>
  </si>
  <si>
    <t>Multan Territory</t>
  </si>
  <si>
    <t>Multan</t>
  </si>
  <si>
    <t>R.Y. Khan Territory</t>
  </si>
  <si>
    <t>BAFL</t>
  </si>
  <si>
    <t>Sold to Party</t>
  </si>
  <si>
    <t>Customer</t>
  </si>
  <si>
    <t>Name  of Dealer</t>
  </si>
  <si>
    <t>City</t>
  </si>
  <si>
    <t>Bank Name</t>
  </si>
  <si>
    <t>Khairpur Territory</t>
  </si>
  <si>
    <t>Haresh Fertilizer Agency</t>
  </si>
  <si>
    <t>Kumb</t>
  </si>
  <si>
    <t>BAHL</t>
  </si>
  <si>
    <t>Abdul Wahid Ansari &amp; Co.</t>
  </si>
  <si>
    <t>Pir Jo Goth</t>
  </si>
  <si>
    <t>Abdul Wajid Ansari &amp; Bros.</t>
  </si>
  <si>
    <t>Abdullah Wali Mohd</t>
  </si>
  <si>
    <t>Sobhodero</t>
  </si>
  <si>
    <t>MEZAN</t>
  </si>
  <si>
    <t>Mushtaque Ahmed &amp; Brothers Fertiliz</t>
  </si>
  <si>
    <t>Khuhra</t>
  </si>
  <si>
    <t>Eshwar Fertilizer</t>
  </si>
  <si>
    <t>Chundiko</t>
  </si>
  <si>
    <t>Shaikh Fertilizer Agency</t>
  </si>
  <si>
    <t>Khairpur</t>
  </si>
  <si>
    <t>Tariq Fertilizer Agency</t>
  </si>
  <si>
    <t>Al Noor Fertilizer Agency</t>
  </si>
  <si>
    <t>S . P Fertilizer Agency</t>
  </si>
  <si>
    <t>Thari Mirwah</t>
  </si>
  <si>
    <t>Ssd Fertilizer Agency</t>
  </si>
  <si>
    <t>Salehpat_SP</t>
  </si>
  <si>
    <t>Suresh Kumar Fertilizer Agency</t>
  </si>
  <si>
    <t>Rohri_SP</t>
  </si>
  <si>
    <t>Pakistan Fertilizer Agency</t>
  </si>
  <si>
    <t>Pano Aquil_SP</t>
  </si>
  <si>
    <t>Dadu Territory</t>
  </si>
  <si>
    <t>Khoso Rice Mill</t>
  </si>
  <si>
    <t>S. Ghulam Rasool &amp; Co.</t>
  </si>
  <si>
    <t>Jacobabad Territory</t>
  </si>
  <si>
    <t>R.S. Fertilizer Agency</t>
  </si>
  <si>
    <t>Gobind Fertilizer Agency</t>
  </si>
  <si>
    <t>Pakistan Traders</t>
  </si>
  <si>
    <t>Habib Insurance Company Ltd.</t>
  </si>
  <si>
    <t>Deductible: Rs. 50,000 on each and every loss &amp; each location.</t>
  </si>
  <si>
    <t>Zone</t>
  </si>
  <si>
    <t>Engro Warehouse</t>
  </si>
  <si>
    <t>South</t>
  </si>
  <si>
    <t>Rahim Yar Khan</t>
  </si>
  <si>
    <t>-</t>
  </si>
  <si>
    <t>North</t>
  </si>
  <si>
    <t>Jhang</t>
  </si>
  <si>
    <t>Abbas Traders</t>
  </si>
  <si>
    <t>4168041-3</t>
  </si>
  <si>
    <t>Narowal</t>
  </si>
  <si>
    <t>Mere sai Fertilizers Agency</t>
  </si>
  <si>
    <t>Anand Kumar</t>
  </si>
  <si>
    <t>Umerkot Road Chorre Cant</t>
  </si>
  <si>
    <t>7505382-3</t>
  </si>
  <si>
    <t>Kunri / Jhudo / Mirpurkhas</t>
  </si>
  <si>
    <t>From: 01-01-2026 to 31-12-2026</t>
  </si>
  <si>
    <t>Upto PKR. 50 MN</t>
  </si>
  <si>
    <t>D</t>
  </si>
  <si>
    <t>Maximum Limit of Liability: Rs. 300,000,000/- on each location</t>
  </si>
  <si>
    <t>upto PKR. 100 MN</t>
  </si>
  <si>
    <t>Sugnichand Fertilizer Agency</t>
  </si>
  <si>
    <t>Dhanesh</t>
  </si>
  <si>
    <t>1698353-0</t>
  </si>
  <si>
    <t>New</t>
  </si>
  <si>
    <t>Lahore</t>
  </si>
  <si>
    <t>Rashid Syed</t>
  </si>
  <si>
    <t>Jello More/Theeng Mor</t>
  </si>
  <si>
    <t>UBL - UNITED BANK LIMITED</t>
  </si>
  <si>
    <t>025 MILLION</t>
  </si>
  <si>
    <t>Sole Proprietorship</t>
  </si>
  <si>
    <t>NIL</t>
  </si>
  <si>
    <t>ISLAM TRADERS</t>
  </si>
  <si>
    <t xml:space="preserve">ARZANI PUR ADDAH </t>
  </si>
  <si>
    <t>3756518-4</t>
  </si>
  <si>
    <t>MUHAMMAD SAAD</t>
  </si>
  <si>
    <t>03004018894</t>
  </si>
  <si>
    <t xml:space="preserve"> -   </t>
  </si>
  <si>
    <t>Hyderabad</t>
  </si>
  <si>
    <t>Fahad Aijaz</t>
  </si>
  <si>
    <t>025 Million</t>
  </si>
  <si>
    <t>3000677/3011738</t>
  </si>
  <si>
    <t>Bhitai Fertilizer Agency</t>
  </si>
  <si>
    <t>Bhittai Fert agency Khipro Road Mirpurkhas</t>
  </si>
  <si>
    <t>2222978-7</t>
  </si>
  <si>
    <t xml:space="preserve"> Tekam Das</t>
  </si>
  <si>
    <t>Nawabshah</t>
  </si>
  <si>
    <t>Umer Bin Masood</t>
  </si>
  <si>
    <t xml:space="preserve">Tando Adam </t>
  </si>
  <si>
    <t>3000825 / 3006715</t>
  </si>
  <si>
    <t>Noor Fertiliizer Agency</t>
  </si>
  <si>
    <t>Kali Road Tando Adam</t>
  </si>
  <si>
    <t>1001012-2</t>
  </si>
  <si>
    <t xml:space="preserve"> Noor Muhammad</t>
  </si>
  <si>
    <t>Tando Adam</t>
  </si>
  <si>
    <t>3000897 /3010747</t>
  </si>
  <si>
    <t>Golden Fertilizer Agency</t>
  </si>
  <si>
    <t>Near Sulaman Roshan Housing Society</t>
  </si>
  <si>
    <t>7236389-2</t>
  </si>
  <si>
    <t>Khem Chand</t>
  </si>
  <si>
    <t>Tando Muhammad Khan</t>
  </si>
  <si>
    <t>100 Million</t>
  </si>
  <si>
    <t>3000907/3010847/3011641</t>
  </si>
  <si>
    <t>Dheeraj Fertilizer Agency</t>
  </si>
  <si>
    <t>Shop#01 Plot# 183-4-5 Main Sujawal Road Dado Pako Tando Muha</t>
  </si>
  <si>
    <t>4284744-3</t>
  </si>
  <si>
    <t>Lal Chand</t>
  </si>
  <si>
    <t>Sukkur</t>
  </si>
  <si>
    <t>Fayaz Mohammad</t>
  </si>
  <si>
    <t>D M Jamali , Usta Muhammad</t>
  </si>
  <si>
    <t>Guru Kirpa Fertilizer Agency   </t>
  </si>
  <si>
    <t>Near Anaj Mandi, Quetta Road, Dera</t>
  </si>
  <si>
    <t>7506295-7</t>
  </si>
  <si>
    <t>Perkash Lal</t>
  </si>
  <si>
    <t>03333605364</t>
  </si>
  <si>
    <t>Nihal Gar</t>
  </si>
  <si>
    <t>Kali Raod Tando Adam Near Latif Gat</t>
  </si>
  <si>
    <t>4363790-6</t>
  </si>
  <si>
    <t>Narish Kumar</t>
  </si>
  <si>
    <t>4420298288727</t>
  </si>
  <si>
    <t>Moro Warehouse</t>
  </si>
  <si>
    <t xml:space="preserve">Sanghar </t>
  </si>
  <si>
    <t>050 Million</t>
  </si>
  <si>
    <t>Jeelani Fertilizer Agency</t>
  </si>
  <si>
    <t>Main Road Moro Old Anaj Mandi Tehsi</t>
  </si>
  <si>
    <t>4019098-6</t>
  </si>
  <si>
    <t>Dileep Kumar</t>
  </si>
  <si>
    <t>3000945 / 3010675</t>
  </si>
  <si>
    <t>Sunil Fertilizer Agency</t>
  </si>
  <si>
    <t>M.A. Jinnah Roadsangahr Sindh Old Anaj Mandi</t>
  </si>
  <si>
    <t>7384776-6</t>
  </si>
  <si>
    <t>Sunil Kumar</t>
  </si>
  <si>
    <t>Mirpur Khas</t>
  </si>
  <si>
    <t>3000954/3009904</t>
  </si>
  <si>
    <t>Al Noor Fertilizer</t>
  </si>
  <si>
    <t>Al Noor Fert agency behind Shah Wali Ullah high School Mirpu</t>
  </si>
  <si>
    <t>1209476-5</t>
  </si>
  <si>
    <t xml:space="preserve"> Teerath Das</t>
  </si>
  <si>
    <t>Mirpurkhas</t>
  </si>
  <si>
    <t>075 Million</t>
  </si>
  <si>
    <t>3000979/30005129</t>
  </si>
  <si>
    <t>Moez Hassan Fertilizer Agency</t>
  </si>
  <si>
    <t>Main Jarwari Shakh chowk Mirwah Road Mirpurkhas</t>
  </si>
  <si>
    <t>5222642-5</t>
  </si>
  <si>
    <t xml:space="preserve"> Moez Hassan</t>
  </si>
  <si>
    <t>Faisalabad</t>
  </si>
  <si>
    <t xml:space="preserve">Shahzad Rashid </t>
  </si>
  <si>
    <t>Company/Corporation</t>
  </si>
  <si>
    <t>Baqar and Co</t>
  </si>
  <si>
    <t>Layah Road, Garh More Layah Road</t>
  </si>
  <si>
    <t>7250777-8</t>
  </si>
  <si>
    <t>Muhammad Tariq</t>
  </si>
  <si>
    <t>Sanghar</t>
  </si>
  <si>
    <t>3001555 / 3006277</t>
  </si>
  <si>
    <t>Dewan Fertilizer Agency</t>
  </si>
  <si>
    <t>M.A.Jinnah Road</t>
  </si>
  <si>
    <t>2190220-8</t>
  </si>
  <si>
    <t xml:space="preserve"> Gopal Das</t>
  </si>
  <si>
    <t>Sagar Fertilizer Agency</t>
  </si>
  <si>
    <t>Main Mirpurkhas. Road</t>
  </si>
  <si>
    <t>3749472</t>
  </si>
  <si>
    <t>Vinod Kumar</t>
  </si>
  <si>
    <t>3001626 / 3009777</t>
  </si>
  <si>
    <t>Shah Lateef Fertilizer Agency</t>
  </si>
  <si>
    <t>Khoso Centre Kali Road</t>
  </si>
  <si>
    <t>0250806-7</t>
  </si>
  <si>
    <t xml:space="preserve"> Manoj Kumar</t>
  </si>
  <si>
    <t>Central</t>
  </si>
  <si>
    <t>Khanewal Territory</t>
  </si>
  <si>
    <t>Haris Wasim</t>
  </si>
  <si>
    <t>Khanewal</t>
  </si>
  <si>
    <t>Individual</t>
  </si>
  <si>
    <t>Razzaqia Traders</t>
  </si>
  <si>
    <t>Thatta Sadiqabad Jahania Thatta Sad, Khanewal</t>
  </si>
  <si>
    <t>2165763-7</t>
  </si>
  <si>
    <t>Rao Aftab Ahmad</t>
  </si>
  <si>
    <t>3610102399127</t>
  </si>
  <si>
    <t>Haq Fareed Traders</t>
  </si>
  <si>
    <t>Grain Market, Jahania Grain Market,, Khanewal</t>
  </si>
  <si>
    <t>3010343-6</t>
  </si>
  <si>
    <t>Waseem Iftikhar</t>
  </si>
  <si>
    <t>3610176109183</t>
  </si>
  <si>
    <t>Ejaz &amp; Brother</t>
  </si>
  <si>
    <t>Zafrullah Chowk Rahem Shah Road Jah, Khanewal</t>
  </si>
  <si>
    <t>4177579-1</t>
  </si>
  <si>
    <t>Muhammad Ejaz</t>
  </si>
  <si>
    <t>3610166638407</t>
  </si>
  <si>
    <t>Hala</t>
  </si>
  <si>
    <t>Al-Rehman Fertilizer Dealer</t>
  </si>
  <si>
    <t>Shahdad Pur Chowk, Old national Highway, Hala new, Matiari.</t>
  </si>
  <si>
    <t>7135133-5</t>
  </si>
  <si>
    <t>Uzair Memon</t>
  </si>
  <si>
    <t xml:space="preserve">PKR 19,862,618 </t>
  </si>
  <si>
    <t xml:space="preserve">PKR            38,572,280 </t>
  </si>
  <si>
    <t xml:space="preserve">Rashid Syed </t>
  </si>
  <si>
    <t>Hafizabad/Jalalpur</t>
  </si>
  <si>
    <t>Abdul Karim &amp; Brothers</t>
  </si>
  <si>
    <t>HEAD OFFICE H.# 429 SECTOR-K ST # 8 DHA PHASE-5</t>
  </si>
  <si>
    <t>0466337-3</t>
  </si>
  <si>
    <t> Abdul Karim</t>
  </si>
  <si>
    <t>0404465545</t>
  </si>
  <si>
    <t>Sargodha</t>
  </si>
  <si>
    <t>Fahad Adnan</t>
  </si>
  <si>
    <t>Tariq Traders</t>
  </si>
  <si>
    <t>Block 7 Khushab Road Sargodha</t>
  </si>
  <si>
    <t>0417998-6</t>
  </si>
  <si>
    <t>Sheikh Tariq Javed</t>
  </si>
  <si>
    <t>38403-0154595-9</t>
  </si>
  <si>
    <t>03009606112</t>
  </si>
  <si>
    <t>773.20</t>
  </si>
  <si>
    <t>935.45</t>
  </si>
  <si>
    <t xml:space="preserve">Chiniot </t>
  </si>
  <si>
    <t>Madina Traders</t>
  </si>
  <si>
    <t>Grain Market, Faisalabad Road Main Gate Ghalla Mandi</t>
  </si>
  <si>
    <t>0429914-7</t>
  </si>
  <si>
    <t>Mumtaz Hussain</t>
  </si>
  <si>
    <t>121363288.8</t>
  </si>
  <si>
    <t>2317.3</t>
  </si>
  <si>
    <t xml:space="preserve"> 98,726,984 </t>
  </si>
  <si>
    <t>457</t>
  </si>
  <si>
    <t>Larkana,Shahdadkot</t>
  </si>
  <si>
    <t>Standard Fertilizer</t>
  </si>
  <si>
    <t xml:space="preserve">Main Bazar Shakarghar Road Tehsil Shakargarh District Narowal </t>
  </si>
  <si>
    <t>4244650-3</t>
  </si>
  <si>
    <t>Muhammad Shahid</t>
  </si>
  <si>
    <t>03458432141</t>
  </si>
  <si>
    <t>3011868 , 3011788 , 3006731 , 3004663 , 3003588 , 3004087 , 3002552 , 3011234 , 3010012 , 3010717 , 3003811</t>
  </si>
  <si>
    <t>Office No #1 Ground Floor Clifton V</t>
  </si>
  <si>
    <t>03333843555</t>
  </si>
  <si>
    <t>Sahiwal</t>
  </si>
  <si>
    <t>Rao Toheed Ahmad</t>
  </si>
  <si>
    <t>Sole Proprietership</t>
  </si>
  <si>
    <t>Shazim Traders</t>
  </si>
  <si>
    <t>Main Road, Adda Noorshah Shell Pump, Adda Noorshah</t>
  </si>
  <si>
    <t>1213485-6</t>
  </si>
  <si>
    <t>Rashid Amin</t>
  </si>
  <si>
    <t>PKR 214,520,287</t>
  </si>
  <si>
    <t>PKR 95,371,695</t>
  </si>
  <si>
    <t>PKR 20,470,361</t>
  </si>
  <si>
    <t>K N Shah and dadu WH</t>
  </si>
  <si>
    <t>3002695 / 3010654</t>
  </si>
  <si>
    <t>Mehran Fert. Agency</t>
  </si>
  <si>
    <t>Near Rakesh Rice Mill</t>
  </si>
  <si>
    <t>1020868-2</t>
  </si>
  <si>
    <t>Parshotam Lal Hinduja</t>
  </si>
  <si>
    <t>0300-3406999</t>
  </si>
  <si>
    <t>Abdullah Fertilizer Agency     </t>
  </si>
  <si>
    <t>Near Saleem Flour Mill Saleem Flour</t>
  </si>
  <si>
    <t>7156289-2</t>
  </si>
  <si>
    <t>Abdullah</t>
  </si>
  <si>
    <t>03003706391</t>
  </si>
  <si>
    <t>3002964 , 3002965 , 3011624</t>
  </si>
  <si>
    <t>Sada Shiv Fertilizer and Pesticide</t>
  </si>
  <si>
    <t>Umer Kot Road Umer Kot Road Mirpurkhas</t>
  </si>
  <si>
    <t>4102961-5</t>
  </si>
  <si>
    <t xml:space="preserve"> Ravi Lohana</t>
  </si>
  <si>
    <t>3003039 / 3003040</t>
  </si>
  <si>
    <t>Ch.Ghulam Rasool &amp; Sons Engro Deale</t>
  </si>
  <si>
    <t>60 Miles Road Near Sanghar Naka Nea</t>
  </si>
  <si>
    <t>2198132-9</t>
  </si>
  <si>
    <t xml:space="preserve"> Ghulam Murtaza</t>
  </si>
  <si>
    <t>3003041 / 3010243</t>
  </si>
  <si>
    <t>Popular Fertilizer Agency</t>
  </si>
  <si>
    <t>Main Sanghar Road Jhool Main Sanghar Road Jhool</t>
  </si>
  <si>
    <t>0241971-8</t>
  </si>
  <si>
    <t xml:space="preserve"> Narayan Das</t>
  </si>
  <si>
    <t>Mahar Enterprises</t>
  </si>
  <si>
    <t>Jhang Road Adjacent PSO Pump, Nehang</t>
  </si>
  <si>
    <t>7216018-7</t>
  </si>
  <si>
    <t>Muhammad Abdul Khaliq</t>
  </si>
  <si>
    <t>38402-0146622-9</t>
  </si>
  <si>
    <t>03076725014</t>
  </si>
  <si>
    <t>M.S Enterprises</t>
  </si>
  <si>
    <t>2257385-2</t>
  </si>
  <si>
    <t>Malik Safdar Hussain</t>
  </si>
  <si>
    <t>38403-0336364-9</t>
  </si>
  <si>
    <t>03006058749</t>
  </si>
  <si>
    <t>16,344,669.77</t>
  </si>
  <si>
    <t>200</t>
  </si>
  <si>
    <t>92,997,593.7</t>
  </si>
  <si>
    <t>942.550</t>
  </si>
  <si>
    <t>Mian channu</t>
  </si>
  <si>
    <t>Malik Asghar Brothers</t>
  </si>
  <si>
    <t>Khanewal Road, Kabirwala, Khanewal</t>
  </si>
  <si>
    <t>4430705-5</t>
  </si>
  <si>
    <t>Akhtar Javed</t>
  </si>
  <si>
    <t>3610224563217</t>
  </si>
  <si>
    <t>Abdullah Traders</t>
  </si>
  <si>
    <t>Main Bazar Abdul Hakeem, Khanewal</t>
  </si>
  <si>
    <t>1383974-8</t>
  </si>
  <si>
    <t>Dilshad Ahmed</t>
  </si>
  <si>
    <t>3610218860885</t>
  </si>
  <si>
    <t>Noor Corporation</t>
  </si>
  <si>
    <t>Ayub road outside grain market Khan, Khanewal</t>
  </si>
  <si>
    <t>3788172-8</t>
  </si>
  <si>
    <t>Allah Rakha</t>
  </si>
  <si>
    <t>3610367068955</t>
  </si>
  <si>
    <t>Rana Muhammad Iqbal &amp; Co.</t>
  </si>
  <si>
    <t>Fida Chungi, Vehari</t>
  </si>
  <si>
    <t>Rana Ishaq</t>
  </si>
  <si>
    <t>3630310130209</t>
  </si>
  <si>
    <t>3003453 /3003454</t>
  </si>
  <si>
    <t>Haji Sardar Ali &amp; Sons</t>
  </si>
  <si>
    <t>Jam Sahib Road Line Par Nawabshah</t>
  </si>
  <si>
    <t>2608337-0</t>
  </si>
  <si>
    <t xml:space="preserve"> Mohammad Irfan</t>
  </si>
  <si>
    <t>Usman Ghani</t>
  </si>
  <si>
    <t>Ahmed Traders</t>
  </si>
  <si>
    <t>Shop No-100, Alfala Bank Street New, Rahim Yar Khan</t>
  </si>
  <si>
    <t>7219750-4</t>
  </si>
  <si>
    <t>Ahmed Raza</t>
  </si>
  <si>
    <t>3130343020041</t>
  </si>
  <si>
    <t>Mianchanu</t>
  </si>
  <si>
    <t>Abdul Karim and Brothers</t>
  </si>
  <si>
    <t>Multan Road, Manga Mandi near Larri, Manga Mandi</t>
  </si>
  <si>
    <t>5603076-0</t>
  </si>
  <si>
    <t>Muhammad Yousaf Karim</t>
  </si>
  <si>
    <t>3640298088975</t>
  </si>
  <si>
    <t>Ch.Barkat &amp; Sons</t>
  </si>
  <si>
    <t>4-KM-Noorpur Nehar. main canal, adda Taragarh</t>
  </si>
  <si>
    <t>4343599-8</t>
  </si>
  <si>
    <t>3460107989483</t>
  </si>
  <si>
    <t>03002797570</t>
  </si>
  <si>
    <t>Nawabshah/Kazi Ahmed</t>
  </si>
  <si>
    <t>A.S. Fertilizer Agency</t>
  </si>
  <si>
    <t>Nawabshah Road Jam Sahib</t>
  </si>
  <si>
    <t>3809924-1</t>
  </si>
  <si>
    <t>FAHEEM ALI</t>
  </si>
  <si>
    <t>AOP</t>
  </si>
  <si>
    <t>Fatima Traders</t>
  </si>
  <si>
    <t>Paracha Street Chowk BCG Multan, Multan</t>
  </si>
  <si>
    <t>4709452-0</t>
  </si>
  <si>
    <t>Dinuyal Shahzad/Muhammad Afaq</t>
  </si>
  <si>
    <t>Mehrabpur Warehouse</t>
  </si>
  <si>
    <t>Ali Fertilizer Agency</t>
  </si>
  <si>
    <t>Main Lakha Road,</t>
  </si>
  <si>
    <t>7552300-4</t>
  </si>
  <si>
    <t>Muhammad Ali</t>
  </si>
  <si>
    <t>3009731 / 3010952</t>
  </si>
  <si>
    <t>Tara Chand Fertilizer Agency</t>
  </si>
  <si>
    <t>Main National Highway Kazi Ahmad</t>
  </si>
  <si>
    <t>8265653-8</t>
  </si>
  <si>
    <t>LAJPAT RAI</t>
  </si>
  <si>
    <t>Dadu/K.N Shah</t>
  </si>
  <si>
    <t>3009934 / 3011058</t>
  </si>
  <si>
    <t>Arwani Fertilizer Agency</t>
  </si>
  <si>
    <t>Main Road Dadu</t>
  </si>
  <si>
    <t>9546272-8</t>
  </si>
  <si>
    <t>Avinash Kumar</t>
  </si>
  <si>
    <t>Ibrahim Traders</t>
  </si>
  <si>
    <t>Faisalabad Road, Chowk Azam, Chowk Azam</t>
  </si>
  <si>
    <t>2727266-4</t>
  </si>
  <si>
    <t>Shikarpur/Jacobabad</t>
  </si>
  <si>
    <t>3010097 , 3011085 , 3011828</t>
  </si>
  <si>
    <t>Sarsabz Fertilizer</t>
  </si>
  <si>
    <t>Old Anaj Mandi near old HBL bank</t>
  </si>
  <si>
    <t>9593595-0</t>
  </si>
  <si>
    <t>Sagar</t>
  </si>
  <si>
    <t>03054974446</t>
  </si>
  <si>
    <t>Jacobabad</t>
  </si>
  <si>
    <t>3010163 , 3011084 , 3011104 , 3011823 , 3011830</t>
  </si>
  <si>
    <t>Sindh Green Fertilizer Agency</t>
  </si>
  <si>
    <t>Old Anaj Mandi, Jacobabad</t>
  </si>
  <si>
    <t>3302780-3</t>
  </si>
  <si>
    <t>Naresh Lal</t>
  </si>
  <si>
    <t>HAHI SHER MUHAMMAD &amp; SONS</t>
  </si>
  <si>
    <t>TODAY PUR ROAD ,ROSHAN BHELLA KASUR</t>
  </si>
  <si>
    <t>7412975-8</t>
  </si>
  <si>
    <t>MUHAMMAD RAFIQ</t>
  </si>
  <si>
    <t>Kumb / Gambat</t>
  </si>
  <si>
    <t>Falak Fertilizer Agency</t>
  </si>
  <si>
    <t>Main National Highway, Rasoolabad</t>
  </si>
  <si>
    <t>7554103-7</t>
  </si>
  <si>
    <t>Falak Sher</t>
  </si>
  <si>
    <t>03018315962</t>
  </si>
  <si>
    <t>New Shan Fertilizer Agency and Pest</t>
  </si>
  <si>
    <t>New Shan Cottton Jinners Mirpurkhas road</t>
  </si>
  <si>
    <t>1122382-7</t>
  </si>
  <si>
    <t>ASAR URF ASARMAL</t>
  </si>
  <si>
    <t>USMAN RIAZ FERTILERS</t>
  </si>
  <si>
    <t>MAIN RIWIND ROAD NEAR GRAND MARKET KOR RADHA KIRISHAN</t>
  </si>
  <si>
    <t>3781713-2</t>
  </si>
  <si>
    <t>UMAR RIAZ</t>
  </si>
  <si>
    <t>03004303432</t>
  </si>
  <si>
    <t>3010978 , 3011023 , 3011387</t>
  </si>
  <si>
    <t>Layyah Territory</t>
  </si>
  <si>
    <t>Mujtaba Khan</t>
  </si>
  <si>
    <t>Layyah</t>
  </si>
  <si>
    <t>Business Indiv.</t>
  </si>
  <si>
    <t>AR Traders</t>
  </si>
  <si>
    <t>Ghalla Mandi, Madan Chak Ali Pur Chatta, Wazirabad</t>
  </si>
  <si>
    <t>3491114-6</t>
  </si>
  <si>
    <t>Muhammad Nabeel Akbar</t>
  </si>
  <si>
    <t>3240322356717</t>
  </si>
  <si>
    <t>Grain Market Toba Road Jhang Sadar</t>
  </si>
  <si>
    <t>Hassan Raza Sheikh</t>
  </si>
  <si>
    <t>33202-3108945-9</t>
  </si>
  <si>
    <t xml:space="preserve"> Rohri , Pano Aaqil, Salehpat</t>
  </si>
  <si>
    <t>Pasha International</t>
  </si>
  <si>
    <t>Massan Road, Rohri</t>
  </si>
  <si>
    <t>A065787-6</t>
  </si>
  <si>
    <t>Vikash</t>
  </si>
  <si>
    <t>4510412199553</t>
  </si>
  <si>
    <t>03097307307</t>
  </si>
  <si>
    <t>Shardha FA</t>
  </si>
  <si>
    <t>M.A Jinnah Road Tando Adam</t>
  </si>
  <si>
    <t>0852191-3</t>
  </si>
  <si>
    <t>Aneel Kumar</t>
  </si>
  <si>
    <t>4420601564557</t>
  </si>
  <si>
    <t>S. No.</t>
  </si>
  <si>
    <t>RSM</t>
  </si>
  <si>
    <t>Type of Business Entity</t>
  </si>
  <si>
    <t>No. of Years of Business with Engro</t>
  </si>
  <si>
    <t xml:space="preserve">Trade Overdue &gt; 30 days
in 2025 or any
restructuring of overdue </t>
  </si>
  <si>
    <t>Sold To Party Number</t>
  </si>
  <si>
    <t>Payer Codes</t>
  </si>
  <si>
    <t>Sold to Party Name</t>
  </si>
  <si>
    <t>Beneficiary Owner</t>
  </si>
  <si>
    <t>2023 PKR</t>
  </si>
  <si>
    <t>2023 QTY (MT)</t>
  </si>
  <si>
    <t>2024 PKR</t>
  </si>
  <si>
    <t>2024 QTY (MT)</t>
  </si>
  <si>
    <t>2025 PKR</t>
  </si>
  <si>
    <t>2025 QTY (MT)</t>
  </si>
  <si>
    <t>2026 PKR</t>
  </si>
  <si>
    <t>2026 QTY (MT)</t>
  </si>
  <si>
    <r>
      <t xml:space="preserve">Bank
</t>
    </r>
    <r>
      <rPr>
        <sz val="32"/>
        <color rgb="FF000000"/>
        <rFont val="Aptos Narrow"/>
        <scheme val="minor"/>
      </rPr>
      <t>As per Dealer's Preference</t>
    </r>
  </si>
  <si>
    <r>
      <t xml:space="preserve">Dealer's Category
</t>
    </r>
    <r>
      <rPr>
        <sz val="32"/>
        <rFont val="Aptos Narrow"/>
        <scheme val="minor"/>
      </rPr>
      <t>As per Insurance Policy</t>
    </r>
  </si>
  <si>
    <r>
      <t xml:space="preserve">Proposed Limit
</t>
    </r>
    <r>
      <rPr>
        <sz val="32"/>
        <rFont val="Aptos Narrow"/>
        <scheme val="minor"/>
      </rPr>
      <t>As per Engro Sales Team</t>
    </r>
  </si>
  <si>
    <t>upto PKR. 75 MN</t>
  </si>
  <si>
    <t>Upto PKR. 25 MN</t>
  </si>
  <si>
    <t>Total Sum Insured: Rs. 500,000,000/- (Annual aggregate)</t>
  </si>
  <si>
    <t>Client Name: United Bank Limited A/c. Engro Fertilizers Ltd. (on account of dealers as per attached)</t>
  </si>
  <si>
    <t>PMD No. : 2026/01/KZBFFNDP00009</t>
  </si>
  <si>
    <t>Row Labels</t>
  </si>
  <si>
    <t>Grand Total</t>
  </si>
  <si>
    <t>Count of Sold To Party Number</t>
  </si>
  <si>
    <t>Limit</t>
  </si>
  <si>
    <t>Dealer's Category
As per Insurance Policy</t>
  </si>
  <si>
    <t>(All)</t>
  </si>
  <si>
    <t># Dealers</t>
  </si>
  <si>
    <t>Rec. Limit (PKR Mn)</t>
  </si>
  <si>
    <t>UBL region</t>
  </si>
  <si>
    <t>Naeem bin Umer</t>
  </si>
  <si>
    <t>Waqas A Shahid</t>
  </si>
  <si>
    <t>Shahzad Safdar</t>
  </si>
  <si>
    <t>Shahzad Hussain</t>
  </si>
  <si>
    <t>Shuaib ur rehman Memon</t>
  </si>
  <si>
    <t>Rajesh Gurnani</t>
  </si>
  <si>
    <t xml:space="preserve">Syed Khawar Ali </t>
  </si>
  <si>
    <t>UBL Cluster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</si>
</sst>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_-* #,##0_-;\-* #,##0_-;_-* &quot;-&quot;??_-;_-@_-"/>
    <numFmt numFmtId="166" formatCode="_([$PKR]\ * #,##0_);_([$PKR]\ * \(#,##0\);_([$PKR]\ * &quot;-&quot;_);_(@_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36"/>
      <color theme="1"/>
      <name val="Aptos Display"/>
      <family val="2"/>
      <scheme val="major"/>
    </font>
    <font>
      <b/>
      <sz val="36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30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28"/>
      <name val="Aptos Narrow"/>
      <family val="2"/>
      <scheme val="minor"/>
    </font>
    <font>
      <b/>
      <sz val="32"/>
      <color rgb="FF000000"/>
      <name val="Aptos Narrow"/>
      <scheme val="minor"/>
    </font>
    <font>
      <sz val="32"/>
      <color rgb="FF000000"/>
      <name val="Aptos Narrow"/>
      <scheme val="minor"/>
    </font>
    <font>
      <b/>
      <sz val="32"/>
      <name val="Aptos Narrow"/>
      <scheme val="minor"/>
    </font>
    <font>
      <sz val="32"/>
      <name val="Aptos Narrow"/>
      <scheme val="minor"/>
    </font>
    <font>
      <b/>
      <sz val="32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26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1FFD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10" borderId="0" applyNumberFormat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15" fontId="3" fillId="0" borderId="0" xfId="0" applyNumberFormat="1" applyFont="1" applyAlignment="1">
      <alignment horizontal="left" vertical="center"/>
    </xf>
    <xf numFmtId="9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7" borderId="8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9" fontId="7" fillId="0" borderId="0" xfId="0" applyNumberFormat="1" applyFont="1" applyAlignment="1">
      <alignment horizontal="center" vertical="center"/>
    </xf>
    <xf numFmtId="165" fontId="7" fillId="0" borderId="0" xfId="1" applyNumberFormat="1" applyFont="1" applyAlignment="1" applyProtection="1">
      <alignment vertical="center"/>
    </xf>
    <xf numFmtId="3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8" fillId="0" borderId="0" xfId="0" applyFont="1" applyAlignment="1">
      <alignment horizontal="left" vertical="center"/>
    </xf>
    <xf numFmtId="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9" fontId="9" fillId="0" borderId="0" xfId="0" applyNumberFormat="1" applyFont="1" applyAlignment="1">
      <alignment horizontal="center" vertical="center"/>
    </xf>
    <xf numFmtId="15" fontId="9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top" wrapText="1"/>
    </xf>
    <xf numFmtId="0" fontId="11" fillId="0" borderId="0" xfId="0" applyFont="1"/>
    <xf numFmtId="0" fontId="12" fillId="0" borderId="0" xfId="0" applyFont="1"/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9" fillId="8" borderId="3" xfId="0" applyFont="1" applyFill="1" applyBorder="1"/>
    <xf numFmtId="49" fontId="15" fillId="4" borderId="1" xfId="0" applyNumberFormat="1" applyFont="1" applyFill="1" applyBorder="1" applyAlignment="1">
      <alignment horizontal="center" vertical="center"/>
    </xf>
    <xf numFmtId="49" fontId="15" fillId="4" borderId="6" xfId="0" applyNumberFormat="1" applyFont="1" applyFill="1" applyBorder="1" applyAlignment="1">
      <alignment horizontal="center" vertical="center"/>
    </xf>
    <xf numFmtId="49" fontId="15" fillId="4" borderId="7" xfId="0" applyNumberFormat="1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49" fontId="15" fillId="4" borderId="12" xfId="0" applyNumberFormat="1" applyFont="1" applyFill="1" applyBorder="1" applyAlignment="1">
      <alignment horizontal="center" vertical="center"/>
    </xf>
    <xf numFmtId="49" fontId="15" fillId="4" borderId="13" xfId="0" applyNumberFormat="1" applyFont="1" applyFill="1" applyBorder="1" applyAlignment="1">
      <alignment horizontal="center" vertical="center"/>
    </xf>
    <xf numFmtId="49" fontId="15" fillId="4" borderId="2" xfId="0" applyNumberFormat="1" applyFont="1" applyFill="1" applyBorder="1" applyAlignment="1">
      <alignment horizontal="center" vertical="center"/>
    </xf>
    <xf numFmtId="1" fontId="15" fillId="4" borderId="13" xfId="0" applyNumberFormat="1" applyFont="1" applyFill="1" applyBorder="1" applyAlignment="1">
      <alignment horizontal="center" vertical="center"/>
    </xf>
    <xf numFmtId="1" fontId="15" fillId="4" borderId="14" xfId="0" applyNumberFormat="1" applyFont="1" applyFill="1" applyBorder="1" applyAlignment="1">
      <alignment horizontal="center" vertical="center"/>
    </xf>
    <xf numFmtId="166" fontId="15" fillId="4" borderId="1" xfId="0" applyNumberFormat="1" applyFont="1" applyFill="1" applyBorder="1" applyAlignment="1">
      <alignment horizontal="center" vertical="center"/>
    </xf>
    <xf numFmtId="3" fontId="15" fillId="4" borderId="2" xfId="0" applyNumberFormat="1" applyFont="1" applyFill="1" applyBorder="1" applyAlignment="1">
      <alignment horizontal="center" vertical="center"/>
    </xf>
    <xf numFmtId="166" fontId="15" fillId="4" borderId="1" xfId="0" applyNumberFormat="1" applyFont="1" applyFill="1" applyBorder="1" applyAlignment="1">
      <alignment vertical="center"/>
    </xf>
    <xf numFmtId="166" fontId="15" fillId="4" borderId="12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9" fillId="9" borderId="3" xfId="0" applyFont="1" applyFill="1" applyBorder="1"/>
    <xf numFmtId="164" fontId="9" fillId="0" borderId="0" xfId="1" applyFont="1" applyAlignment="1">
      <alignment vertical="center"/>
    </xf>
    <xf numFmtId="164" fontId="9" fillId="0" borderId="0" xfId="1" applyFont="1" applyAlignment="1">
      <alignment vertical="top" wrapText="1"/>
    </xf>
    <xf numFmtId="164" fontId="15" fillId="4" borderId="12" xfId="1" applyFont="1" applyFill="1" applyBorder="1" applyAlignment="1">
      <alignment horizontal="center" vertical="center"/>
    </xf>
    <xf numFmtId="164" fontId="9" fillId="8" borderId="3" xfId="1" applyFont="1" applyFill="1" applyBorder="1"/>
    <xf numFmtId="0" fontId="19" fillId="4" borderId="11" xfId="0" applyFont="1" applyFill="1" applyBorder="1" applyAlignment="1">
      <alignment horizontal="center" vertical="center" wrapText="1"/>
    </xf>
    <xf numFmtId="164" fontId="0" fillId="0" borderId="0" xfId="0" applyNumberFormat="1"/>
    <xf numFmtId="0" fontId="13" fillId="2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 wrapText="1"/>
    </xf>
    <xf numFmtId="0" fontId="21" fillId="10" borderId="15" xfId="3" applyFont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</cellXfs>
  <cellStyles count="4">
    <cellStyle name="Comma" xfId="1" builtinId="3"/>
    <cellStyle name="Comma 2" xfId="2"/>
    <cellStyle name="Neutral" xfId="3" builtinId="28"/>
    <cellStyle name="Normal" xfId="0" builtinId="0"/>
  </cellStyles>
  <dxfs count="12">
    <dxf>
      <numFmt numFmtId="164" formatCode="_-* #,##0.00_-;\-* #,##0.00_-;_-* &quot;-&quot;??_-;_-@_-"/>
    </dxf>
    <dxf>
      <numFmt numFmtId="164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aqas Ahmed" refreshedDate="46203.571775810182" createdVersion="8" refreshedVersion="8" minRefreshableVersion="3" recordCount="57">
  <cacheSource type="worksheet">
    <worksheetSource ref="A17:U74" sheet="DCF list 2026"/>
  </cacheSource>
  <cacheFields count="19">
    <cacheField name="S. No." numFmtId="0">
      <sharedItems containsMixedTypes="1" containsNumber="1" containsInteger="1" minValue="3" maxValue="1008"/>
    </cacheField>
    <cacheField name="Zone" numFmtId="0">
      <sharedItems count="3">
        <s v="Central"/>
        <s v="South"/>
        <s v="North"/>
      </sharedItems>
    </cacheField>
    <cacheField name="Region" numFmtId="0">
      <sharedItems count="12">
        <s v="Multan Territory"/>
        <s v="Sukkur"/>
        <s v="Hyderabad"/>
        <s v="Nawabshah"/>
        <s v="Lahore"/>
        <s v="Faisalabad"/>
        <s v="Layyah Territory"/>
        <s v="R.Y. Khan Territory"/>
        <s v="Sargodha"/>
        <s v="Sahiwal"/>
        <s v="Khanewal Territory"/>
        <s v="Multan"/>
      </sharedItems>
    </cacheField>
    <cacheField name="RSM" numFmtId="0">
      <sharedItems/>
    </cacheField>
    <cacheField name="Engro Warehouse" numFmtId="0">
      <sharedItems/>
    </cacheField>
    <cacheField name="Bank_x000a_As per Dealer's Preference" numFmtId="0">
      <sharedItems/>
    </cacheField>
    <cacheField name="Dealer's Category_x000a_As per Insurance Policy" numFmtId="0">
      <sharedItems count="4">
        <s v="A"/>
        <s v="D"/>
        <s v="C"/>
        <s v="B"/>
      </sharedItems>
    </cacheField>
    <cacheField name="Limit" numFmtId="0">
      <sharedItems containsSemiMixedTypes="0" containsString="0" containsNumber="1" containsInteger="1" minValue="25" maxValue="100"/>
    </cacheField>
    <cacheField name="Proposed Limit_x000a_As per Engro Sales Team" numFmtId="0">
      <sharedItems/>
    </cacheField>
    <cacheField name="Type of Business Entity" numFmtId="0">
      <sharedItems/>
    </cacheField>
    <cacheField name="No. of Years of Business with Engro" numFmtId="0">
      <sharedItems containsSemiMixedTypes="0" containsString="0" containsNumber="1" minValue="0" maxValue="27"/>
    </cacheField>
    <cacheField name="Trade Overdue &gt; 30 days_x000a_in 2025 or any_x000a_restructuring of overdue " numFmtId="0">
      <sharedItems/>
    </cacheField>
    <cacheField name="Sold To Party Number" numFmtId="0">
      <sharedItems containsSemiMixedTypes="0" containsString="0" containsNumber="1" containsInteger="1" minValue="1000123" maxValue="1009527"/>
    </cacheField>
    <cacheField name="Payer Codes" numFmtId="0">
      <sharedItems containsBlank="1" containsMixedTypes="1" containsNumber="1" containsInteger="1" minValue="3000123" maxValue="3012088"/>
    </cacheField>
    <cacheField name="Sold to Party Name" numFmtId="0">
      <sharedItems count="57">
        <s v="Rana Muhammad Iqbal &amp; Co."/>
        <s v="Sugnichand Fertilizer Agency"/>
        <s v="Sada Shiv Fertilizer and Pesticide"/>
        <s v="Ibrahim Traders"/>
        <s v="Sarsabz Fertilizer"/>
        <s v="Sindh Green Fertilizer Agency"/>
        <s v="Bhitai Fertilizer Agency"/>
        <s v="Tara Chand Fertilizer Agency"/>
        <s v="Pasha International"/>
        <s v="Dewan Fertilizer Agency"/>
        <s v="Dheeraj Fertilizer Agency"/>
        <s v="Standard Fertilizer"/>
        <s v="Madina Traders"/>
        <s v="Sunil Fertilizer Agency"/>
        <s v="Jeelani Fertilizer Agency"/>
        <s v="AR Traders"/>
        <s v="Mehran Fert. Agency"/>
        <s v="Haji Sardar Ali &amp; Sons"/>
        <s v="Noor Fertiliizer Agency"/>
        <s v="Fatima Traders"/>
        <s v="A.S. Fertilizer Agency"/>
        <s v="Popular Fertilizer Agency"/>
        <s v="Ahmed Traders"/>
        <s v="Mahar Enterprises"/>
        <s v="Shazim Traders"/>
        <s v="Shah Lateef Fertilizer Agency"/>
        <s v="Nihal Gar"/>
        <s v="Al Noor Fertilizer"/>
        <s v="Sagar Fertilizer Agency"/>
        <s v="Razzaqia Traders"/>
        <s v="Ali Fertilizer Agency"/>
        <s v="Golden Fertilizer Agency"/>
        <s v="Falak Fertilizer Agency"/>
        <s v="Ch.Barkat &amp; Sons"/>
        <s v="Abdullah Fertilizer Agency     "/>
        <s v="Guru Kirpa Fertilizer Agency   "/>
        <s v="HAHI SHER MUHAMMAD &amp; SONS"/>
        <s v="ISLAM TRADERS"/>
        <s v="M.S Enterprises"/>
        <s v="Ch.Ghulam Rasool &amp; Sons Engro Deale"/>
        <s v="Al-Rehman Fertilizer Dealer"/>
        <s v="Malik Asghar Brothers"/>
        <s v="Arwani Fertilizer Agency"/>
        <s v="Shardha FA"/>
        <s v="Abdul Karim &amp; Brothers"/>
        <s v="USMAN RIAZ FERTILERS"/>
        <s v="Noor Corporation"/>
        <s v="Moez Hassan Fertilizer Agency"/>
        <s v="Ejaz &amp; Brother"/>
        <s v="Tariq Traders"/>
        <s v="Abdul Karim and Brothers"/>
        <s v="Baqar and Co"/>
        <s v="Abdullah Traders"/>
        <s v="Haq Fareed Traders"/>
        <s v="Abbas Traders"/>
        <s v="Mere sai Fertilizers Agency"/>
        <s v="New Shan Fertilizer Agency and Pest"/>
      </sharedItems>
    </cacheField>
    <cacheField name="Business Address" numFmtId="0">
      <sharedItems/>
    </cacheField>
    <cacheField name="NTN Number" numFmtId="0">
      <sharedItems/>
    </cacheField>
    <cacheField name="Beneficiary Owner" numFmtId="0">
      <sharedItems containsBlank="1"/>
    </cacheField>
    <cacheField name="CNIC Number" numFmtId="0">
      <sharedItems containsMixedTypes="1" containsNumber="1" containsInteger="1" minValue="3110465594901" maxValue="53401186973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n v="80"/>
    <x v="0"/>
    <x v="0"/>
    <s v="Haris Wasim"/>
    <s v="Multan"/>
    <s v="UBL - UNITED BANK LIMITED"/>
    <x v="0"/>
    <n v="100"/>
    <s v="100 Million"/>
    <s v="Individual"/>
    <n v="12"/>
    <s v="NIL"/>
    <n v="1002743"/>
    <m/>
    <x v="0"/>
    <s v="Fida Chungi, Vehari"/>
    <s v="-"/>
    <s v="Rana Ishaq"/>
    <s v="3630310130209"/>
  </r>
  <r>
    <n v="486"/>
    <x v="1"/>
    <x v="1"/>
    <s v="Fayaz Mohammad"/>
    <s v="Larkana,Shahdadkot"/>
    <s v="UBL - UNITED BANK LIMITED"/>
    <x v="0"/>
    <n v="100"/>
    <s v="100 Million"/>
    <s v="Sole Proprietorship"/>
    <n v="10.886111111111111"/>
    <s v="NIL"/>
    <n v="1002354"/>
    <s v="3011868 , 3011788 , 3006731 , 3004663 , 3003588 , 3004087 , 3002552 , 3011234 , 3010012 , 3010717 , 3003811"/>
    <x v="1"/>
    <s v="Office No #1 Ground Floor Clifton V"/>
    <s v="1698353-0"/>
    <s v="Dhanesh"/>
    <n v="4510301494443"/>
  </r>
  <r>
    <n v="581"/>
    <x v="1"/>
    <x v="2"/>
    <s v="Fahad Aijaz"/>
    <s v="Mirpurkhas"/>
    <s v="UBL - UNITED BANK LIMITED"/>
    <x v="0"/>
    <n v="100"/>
    <s v="100 Million"/>
    <s v="Sole Proprietorship"/>
    <n v="9.7260273972602747"/>
    <s v="NIL"/>
    <n v="1002540"/>
    <s v="3002964 , 3002965 , 3011624"/>
    <x v="2"/>
    <s v="Umer Kot Road Umer Kot Road Mirpurkhas"/>
    <s v="4102961-5"/>
    <s v=" Ravi Lohana"/>
    <n v="4410395298947"/>
  </r>
  <r>
    <n v="87"/>
    <x v="0"/>
    <x v="0"/>
    <s v="Haris Wasim"/>
    <s v="Multan"/>
    <s v="UBL - UNITED BANK LIMITED"/>
    <x v="0"/>
    <n v="100"/>
    <s v="100 Million"/>
    <s v="AOP"/>
    <n v="5"/>
    <s v="NIL"/>
    <n v="1007377"/>
    <m/>
    <x v="3"/>
    <s v="Faisalabad Road, Chowk Azam, Chowk Azam"/>
    <s v="2727266-4"/>
    <m/>
    <s v="-"/>
  </r>
  <r>
    <n v="900"/>
    <x v="1"/>
    <x v="1"/>
    <s v="Fayaz Mohammad"/>
    <s v="Shikarpur/Jacobabad"/>
    <s v="UBL - UNITED BANK LIMITED"/>
    <x v="0"/>
    <n v="100"/>
    <s v="100 Million"/>
    <s v="Sole Proprietorship"/>
    <n v="3.7416666666666667"/>
    <s v="NIL"/>
    <n v="1007470"/>
    <s v="3010097 , 3011085 , 3011828"/>
    <x v="4"/>
    <s v="Old Anaj Mandi near old HBL bank"/>
    <s v="9593595-0"/>
    <s v="Sagar"/>
    <n v="4510178425083"/>
  </r>
  <r>
    <n v="911"/>
    <x v="1"/>
    <x v="1"/>
    <s v="Fayaz Mohammad"/>
    <s v="Jacobabad"/>
    <s v="UBL - UNITED BANK LIMITED"/>
    <x v="0"/>
    <n v="100"/>
    <s v="100 Million"/>
    <s v="Sole Proprietorship"/>
    <n v="3.6361111111111111"/>
    <s v="NIL"/>
    <n v="1007516"/>
    <s v="3010163 , 3011084 , 3011104 , 3011823 , 3011830"/>
    <x v="5"/>
    <s v="Old Anaj Mandi, Jacobabad"/>
    <s v="3302780-3"/>
    <s v="Naresh Lal"/>
    <n v="4510110517563"/>
  </r>
  <r>
    <n v="123"/>
    <x v="1"/>
    <x v="2"/>
    <s v="Fahad Aijaz"/>
    <s v="Kunri / Jhudo / Mirpurkhas"/>
    <s v="UBL - UNITED BANK LIMITED"/>
    <x v="1"/>
    <n v="25"/>
    <s v="025 Million"/>
    <s v="Sole Proprietorship"/>
    <n v="26.92876712328767"/>
    <s v="NIL"/>
    <n v="1000677"/>
    <s v="3000677/3011738"/>
    <x v="6"/>
    <s v="Bhittai Fert agency Khipro Road Mirpurkhas"/>
    <s v="2222978-7"/>
    <s v=" Tekam Das"/>
    <n v="4410396550463"/>
  </r>
  <r>
    <n v="863"/>
    <x v="1"/>
    <x v="3"/>
    <s v="Umer Bin Masood"/>
    <s v="Nawabshah/Kazi Ahmed"/>
    <s v="UBL - UNITED BANK LIMITED"/>
    <x v="1"/>
    <n v="25"/>
    <s v="025 Million"/>
    <s v="Sole Proprietorship"/>
    <n v="2"/>
    <s v="NIL"/>
    <n v="1007233"/>
    <s v="3009731 / 3010952"/>
    <x v="7"/>
    <s v="Main National Highway Kazi Ahmad"/>
    <s v="8265653-8"/>
    <s v="LAJPAT RAI"/>
    <n v="4540176777971"/>
  </r>
  <r>
    <n v="1005"/>
    <x v="1"/>
    <x v="1"/>
    <s v="Fayaz Mohammad"/>
    <s v=" Rohri , Pano Aaqil, Salehpat"/>
    <s v="UBL - UNITED BANK LIMITED"/>
    <x v="1"/>
    <n v="25"/>
    <s v="025 Million"/>
    <s v="Sole Proprietorship"/>
    <n v="0.61388888888888893"/>
    <s v="NIL"/>
    <n v="1009363"/>
    <n v="3011912"/>
    <x v="8"/>
    <s v="Massan Road, Rohri"/>
    <s v="A065787-6"/>
    <s v="Vikash"/>
    <s v="4510412199553"/>
  </r>
  <r>
    <n v="314"/>
    <x v="1"/>
    <x v="3"/>
    <s v="Umer Bin Masood"/>
    <s v="Sanghar"/>
    <s v="UBL - UNITED BANK LIMITED"/>
    <x v="2"/>
    <n v="50"/>
    <s v="050 Million"/>
    <s v="Sole Proprietorship"/>
    <n v="25"/>
    <s v="NIL"/>
    <n v="1001559"/>
    <s v="3001555 / 3006277"/>
    <x v="9"/>
    <s v="M.A.Jinnah Road"/>
    <s v="2190220-8"/>
    <s v=" Gopal Das"/>
    <n v="4420232806605"/>
  </r>
  <r>
    <n v="156"/>
    <x v="1"/>
    <x v="2"/>
    <s v="Fahad Aijaz"/>
    <s v="Tando Muhammad Khan"/>
    <s v="UBL - UNITED BANK LIMITED"/>
    <x v="0"/>
    <n v="100"/>
    <s v="100 Million"/>
    <s v="Sole Proprietorship"/>
    <n v="8.8246575342465761"/>
    <s v="NIL"/>
    <n v="1000909"/>
    <s v="3000907/3010847/3011641"/>
    <x v="10"/>
    <s v="Shop#01 Plot# 183-4-5 Main Sujawal Road Dado Pako Tando Muha"/>
    <s v="4284744-3"/>
    <s v="Lal Chand"/>
    <n v="4120736095947"/>
  </r>
  <r>
    <n v="485"/>
    <x v="2"/>
    <x v="4"/>
    <s v="Rashid Syed"/>
    <s v="Narowal"/>
    <s v="UBL - UNITED BANK LIMITED"/>
    <x v="3"/>
    <n v="75"/>
    <s v="075 Million"/>
    <s v="Sole Proprietorship"/>
    <n v="12"/>
    <s v="NIL"/>
    <n v="1002353"/>
    <n v="3009390"/>
    <x v="11"/>
    <s v="Main Bazar Shakarghar Road Tehsil Shakargarh District Narowal "/>
    <s v="4244650-3"/>
    <s v="Muhammad Shahid"/>
    <n v="3450116767121"/>
  </r>
  <r>
    <n v="452"/>
    <x v="2"/>
    <x v="5"/>
    <s v="Shahzad Rashid "/>
    <s v="Chiniot "/>
    <s v="UBL - UNITED BANK LIMITED"/>
    <x v="2"/>
    <n v="50"/>
    <s v="050 Million"/>
    <s v="Company/Corporation"/>
    <n v="12"/>
    <s v="NIL"/>
    <n v="1002267"/>
    <n v="3002377"/>
    <x v="12"/>
    <s v="Grain Market, Faisalabad Road Main Gate Ghalla Mandi"/>
    <s v="0429914-7"/>
    <s v="Mumtaz Hussain"/>
    <n v="3320120000000"/>
  </r>
  <r>
    <n v="164"/>
    <x v="1"/>
    <x v="3"/>
    <s v="Umer Bin Masood"/>
    <s v="Sanghar "/>
    <s v="UBL - UNITED BANK LIMITED"/>
    <x v="2"/>
    <n v="50"/>
    <s v="050 Million"/>
    <s v="Sole Proprietorship"/>
    <n v="6"/>
    <s v="NIL"/>
    <n v="1000947"/>
    <s v="3000945 / 3010675"/>
    <x v="13"/>
    <s v="M.A. Jinnah Roadsangahr Sindh Old Anaj Mandi"/>
    <s v="7384776-6"/>
    <s v="Sunil Kumar"/>
    <n v="4420306029475"/>
  </r>
  <r>
    <n v="163"/>
    <x v="1"/>
    <x v="3"/>
    <s v="Umer Bin Masood"/>
    <s v="Moro Warehouse"/>
    <s v="UBL - UNITED BANK LIMITED"/>
    <x v="1"/>
    <n v="25"/>
    <s v="025 Million"/>
    <s v="Sole Proprietorship"/>
    <n v="6"/>
    <s v="NIL"/>
    <n v="1000946"/>
    <n v="3000944"/>
    <x v="14"/>
    <s v="Main Road Moro Old Anaj Mandi Tehsi"/>
    <s v="4019098-6"/>
    <s v="Dileep Kumar"/>
    <n v="4130381889223"/>
  </r>
  <r>
    <n v="136"/>
    <x v="0"/>
    <x v="6"/>
    <s v="Mujtaba Khan"/>
    <s v="Layyah"/>
    <s v="UBL - UNITED BANK LIMITED"/>
    <x v="1"/>
    <n v="25"/>
    <s v="025 Million"/>
    <s v="Business Indiv."/>
    <n v="2"/>
    <s v="NIL"/>
    <n v="1008964"/>
    <m/>
    <x v="15"/>
    <s v="Ghalla Mandi, Madan Chak Ali Pur Chatta, Wazirabad"/>
    <s v="3491114-6"/>
    <s v="Muhammad Nabeel Akbar"/>
    <s v="3240322356717"/>
  </r>
  <r>
    <n v="519"/>
    <x v="1"/>
    <x v="3"/>
    <s v="Umer Bin Masood"/>
    <s v="K N Shah and dadu WH"/>
    <s v="UBL - UNITED BANK LIMITED"/>
    <x v="1"/>
    <n v="25"/>
    <s v="025 Million"/>
    <s v="Sole Proprietorship"/>
    <n v="24"/>
    <s v="NIL"/>
    <n v="1002427"/>
    <s v="3002695 / 3010654"/>
    <x v="16"/>
    <s v="Near Rakesh Rice Mill"/>
    <s v="1020868-2"/>
    <s v="Parshotam Lal Hinduja"/>
    <n v="4120539641817"/>
  </r>
  <r>
    <n v="702"/>
    <x v="1"/>
    <x v="3"/>
    <s v="Umer Bin Masood"/>
    <s v="Nawabshah"/>
    <s v="UBL - UNITED BANK LIMITED"/>
    <x v="1"/>
    <n v="25"/>
    <s v="025 Million"/>
    <s v="Sole Proprietorship"/>
    <n v="14"/>
    <s v="NIL"/>
    <n v="1002784"/>
    <s v="3003453 /3003454"/>
    <x v="17"/>
    <s v="Jam Sahib Road Line Par Nawabshah"/>
    <s v="2608337-0"/>
    <s v=" Mohammad Irfan"/>
    <n v="4540208390115"/>
  </r>
  <r>
    <n v="147"/>
    <x v="1"/>
    <x v="3"/>
    <s v="Umer Bin Masood"/>
    <s v="Tando Adam "/>
    <s v="UBL - UNITED BANK LIMITED"/>
    <x v="1"/>
    <n v="25"/>
    <s v="025 Million"/>
    <s v="Sole Proprietorship"/>
    <n v="9"/>
    <s v="NIL"/>
    <n v="1000826"/>
    <s v="3000825 / 3006715"/>
    <x v="18"/>
    <s v="Kali Road Tando Adam"/>
    <s v="1001012-2"/>
    <s v=" Noor Muhammad"/>
    <n v="4130505364757"/>
  </r>
  <r>
    <n v="86"/>
    <x v="0"/>
    <x v="0"/>
    <s v="Haris Wasim"/>
    <s v="Multan"/>
    <s v="UBL - UNITED BANK LIMITED"/>
    <x v="3"/>
    <n v="100"/>
    <s v="100 Million"/>
    <s v="AOP"/>
    <n v="5"/>
    <s v="NIL"/>
    <n v="1007118"/>
    <m/>
    <x v="19"/>
    <s v="Paracha Street Chowk BCG Multan, Multan"/>
    <s v="4709452-0"/>
    <s v="Dinuyal Shahzad/Muhammad Afaq"/>
    <s v="-"/>
  </r>
  <r>
    <n v="842"/>
    <x v="1"/>
    <x v="3"/>
    <s v="Umer Bin Masood"/>
    <s v="Nawabshah/Kazi Ahmed"/>
    <s v="UBL - UNITED BANK LIMITED"/>
    <x v="3"/>
    <n v="75"/>
    <s v="075 Million"/>
    <s v="Sole Proprietorship"/>
    <n v="3"/>
    <s v="NIL"/>
    <n v="1007048"/>
    <n v="3009392"/>
    <x v="20"/>
    <s v="Nawabshah Road Jam Sahib"/>
    <s v="3809924-1"/>
    <s v="FAHEEM ALI"/>
    <n v="4530503414369"/>
  </r>
  <r>
    <n v="597"/>
    <x v="1"/>
    <x v="3"/>
    <s v="Umer Bin Masood"/>
    <s v="Sanghar"/>
    <s v="UBL - UNITED BANK LIMITED"/>
    <x v="2"/>
    <n v="50"/>
    <s v="050 Million"/>
    <s v="Sole Proprietorship"/>
    <n v="25"/>
    <s v="NIL"/>
    <n v="1002573"/>
    <s v="3003041 / 3010243"/>
    <x v="21"/>
    <s v="Main Sanghar Road Jhool Main Sanghar Road Jhool"/>
    <s v="0241971-8"/>
    <s v=" Narayan Das"/>
    <n v="4420303295669"/>
  </r>
  <r>
    <n v="229"/>
    <x v="0"/>
    <x v="7"/>
    <s v="Usman Ghani"/>
    <s v="Rahim Yar Khan"/>
    <s v="UBL - UNITED BANK LIMITED"/>
    <x v="1"/>
    <n v="25"/>
    <s v="025 Million"/>
    <s v="Individual"/>
    <n v="8"/>
    <s v="NIL"/>
    <n v="1002838"/>
    <m/>
    <x v="22"/>
    <s v="Shop No-100, Alfala Bank Street New, Rahim Yar Khan"/>
    <s v="7219750-4"/>
    <s v="Ahmed Raza"/>
    <s v="3130343020041"/>
  </r>
  <r>
    <n v="604"/>
    <x v="2"/>
    <x v="8"/>
    <s v="Fahad Adnan"/>
    <s v="Sargodha"/>
    <s v="UBL - UNITED BANK LIMITED"/>
    <x v="1"/>
    <n v="25"/>
    <s v="025 Million"/>
    <s v="Sole Proprietorship"/>
    <n v="12"/>
    <s v="NIL"/>
    <n v="1002598"/>
    <n v="3003091"/>
    <x v="23"/>
    <s v="Jhang Road Adjacent PSO Pump, Nehang"/>
    <s v="7216018-7"/>
    <s v="Muhammad Abdul Khaliq"/>
    <s v="38402-0146622-9"/>
  </r>
  <r>
    <n v="505"/>
    <x v="2"/>
    <x v="9"/>
    <s v="Rao Toheed Ahmad"/>
    <s v="Sahiwal"/>
    <s v="UBL - UNITED BANK LIMITED"/>
    <x v="3"/>
    <n v="75"/>
    <s v="075 Million"/>
    <s v="Sole Proprietership"/>
    <n v="24"/>
    <s v="NIL"/>
    <n v="1002406"/>
    <n v="3002662"/>
    <x v="24"/>
    <s v="Main Road, Adda Noorshah Shell Pump, Adda Noorshah"/>
    <s v="1213485-6"/>
    <s v="Rashid Amin"/>
    <n v="3650213680767"/>
  </r>
  <r>
    <n v="335"/>
    <x v="1"/>
    <x v="3"/>
    <s v="Umer Bin Masood"/>
    <s v="Tando Adam "/>
    <s v="UBL - UNITED BANK LIMITED"/>
    <x v="1"/>
    <n v="25"/>
    <s v="025 Million"/>
    <s v="Sole Proprietorship"/>
    <n v="22"/>
    <s v="NIL"/>
    <n v="1001630"/>
    <s v="3001626 / 3009777"/>
    <x v="25"/>
    <s v="Khoso Centre Kali Road"/>
    <s v="0250806-7"/>
    <s v=" Manoj Kumar"/>
    <n v="4420648353993"/>
  </r>
  <r>
    <n v="1007"/>
    <x v="1"/>
    <x v="3"/>
    <s v="Umer Bin Masood"/>
    <s v="Tando Adam"/>
    <s v="UBL - UNITED BANK LIMITED"/>
    <x v="1"/>
    <n v="25"/>
    <s v="025 Million"/>
    <s v="Sole Proprietorship"/>
    <n v="2"/>
    <s v="NIL"/>
    <n v="1000932"/>
    <n v="3000930"/>
    <x v="26"/>
    <s v="Kali Raod Tando Adam Near Latif Gat"/>
    <s v="4363790-6"/>
    <s v="Narish Kumar"/>
    <s v="4420298288727"/>
  </r>
  <r>
    <n v="166"/>
    <x v="1"/>
    <x v="2"/>
    <s v="Fahad Aijaz"/>
    <s v="Mirpur Khas"/>
    <s v="UBL - UNITED BANK LIMITED"/>
    <x v="0"/>
    <n v="100"/>
    <s v="100 Million"/>
    <s v="Sole Proprietorship"/>
    <n v="7.7671232876712333"/>
    <s v="NIL"/>
    <n v="1000956"/>
    <s v="3000954/3009904"/>
    <x v="27"/>
    <s v="Al Noor Fert agency behind Shah Wali Ullah high School Mirpu"/>
    <s v="1209476-5"/>
    <s v=" Teerath Das"/>
    <n v="4410306326255"/>
  </r>
  <r>
    <n v="315"/>
    <x v="1"/>
    <x v="3"/>
    <s v="Umer Bin Masood"/>
    <s v="Sanghar"/>
    <s v="UBL - UNITED BANK LIMITED"/>
    <x v="1"/>
    <n v="25"/>
    <s v="025 Million"/>
    <s v="Sole Proprietorship"/>
    <n v="8"/>
    <s v="NIL"/>
    <n v="1001563"/>
    <n v="3001559"/>
    <x v="28"/>
    <s v="Main Mirpurkhas. Road"/>
    <s v="3749472"/>
    <s v="Vinod Kumar"/>
    <n v="4420362404327"/>
  </r>
  <r>
    <n v="3"/>
    <x v="0"/>
    <x v="10"/>
    <s v="Haris Wasim"/>
    <s v="Khanewal"/>
    <s v="UBL - UNITED BANK LIMITED"/>
    <x v="1"/>
    <n v="25"/>
    <s v="025 Million"/>
    <s v="Individual"/>
    <n v="27"/>
    <s v="NIL"/>
    <n v="1001678"/>
    <m/>
    <x v="29"/>
    <s v="Thatta Sadiqabad Jahania Thatta Sad, Khanewal"/>
    <s v="2165763-7"/>
    <s v="Rao Aftab Ahmad"/>
    <s v="3610102399127"/>
  </r>
  <r>
    <n v="853"/>
    <x v="1"/>
    <x v="3"/>
    <s v="Umer Bin Masood"/>
    <s v="Mehrabpur Warehouse"/>
    <s v="UBL - UNITED BANK LIMITED"/>
    <x v="3"/>
    <n v="75"/>
    <s v="075 Million"/>
    <s v="Sole Proprietorship"/>
    <n v="2"/>
    <s v="NIL"/>
    <n v="1007173"/>
    <n v="3009634"/>
    <x v="30"/>
    <s v="Main Lakha Road,"/>
    <s v="7552300-4"/>
    <s v="Muhammad Ali"/>
    <n v="4530503775783"/>
  </r>
  <r>
    <n v="153"/>
    <x v="1"/>
    <x v="3"/>
    <s v="Umer Bin Masood"/>
    <s v="Tando Adam"/>
    <s v="UBL - UNITED BANK LIMITED"/>
    <x v="1"/>
    <n v="25"/>
    <s v="025 Million"/>
    <s v="Sole Proprietorship"/>
    <n v="17"/>
    <s v="NIL"/>
    <n v="1000899"/>
    <s v="3000897 /3010747"/>
    <x v="31"/>
    <s v="Near Sulaman Roshan Housing Society"/>
    <s v="7236389-2"/>
    <s v="Khem Chand"/>
    <n v="4420677552241"/>
  </r>
  <r>
    <n v="937"/>
    <x v="1"/>
    <x v="1"/>
    <s v="Fayaz Mohammad"/>
    <s v="Kumb / Gambat"/>
    <s v="UBL - UNITED BANK LIMITED"/>
    <x v="0"/>
    <n v="100"/>
    <s v="100 Million"/>
    <s v="Sole Proprietorship"/>
    <n v="3.1"/>
    <s v="NIL"/>
    <n v="1007693"/>
    <n v="3010432"/>
    <x v="32"/>
    <s v="Main National Highway, Rasoolabad"/>
    <s v="7554103-7"/>
    <s v="Falak Sher"/>
    <n v="4530503856787"/>
  </r>
  <r>
    <n v="752"/>
    <x v="2"/>
    <x v="4"/>
    <s v="Rashid Syed"/>
    <s v="Jello More/Theeng Mor"/>
    <s v="UBL - UNITED BANK LIMITED"/>
    <x v="2"/>
    <n v="50"/>
    <s v="050 Million"/>
    <s v="Sole Proprietorship"/>
    <n v="12"/>
    <s v="NIL"/>
    <n v="1003280"/>
    <n v="3011277"/>
    <x v="33"/>
    <s v="4-KM-Noorpur Nehar. main canal, adda Taragarh"/>
    <s v="4343599-8"/>
    <s v="Ch.Barkat &amp; Sons"/>
    <s v="3460107989483"/>
  </r>
  <r>
    <n v="580"/>
    <x v="1"/>
    <x v="1"/>
    <s v="Fayaz Mohammad"/>
    <s v="D M Jamali , Usta Muhammad"/>
    <s v="UBL - UNITED BANK LIMITED"/>
    <x v="1"/>
    <n v="25"/>
    <s v="025 Million"/>
    <s v="Sole Proprietorship"/>
    <n v="10.025"/>
    <s v="NIL"/>
    <n v="1002534"/>
    <n v="3002950"/>
    <x v="34"/>
    <s v="Near Saleem Flour Mill Saleem Flour"/>
    <s v="7156289-2"/>
    <s v="Abdullah"/>
    <n v="5320246004351"/>
  </r>
  <r>
    <n v="158"/>
    <x v="1"/>
    <x v="1"/>
    <s v="Fayaz Mohammad"/>
    <s v="D M Jamali , Usta Muhammad"/>
    <s v="UBL - UNITED BANK LIMITED"/>
    <x v="1"/>
    <n v="25"/>
    <s v="025 Million"/>
    <s v="Sole Proprietorship"/>
    <n v="8.2138888888888886"/>
    <s v="NIL"/>
    <n v="1000922"/>
    <n v="3000920"/>
    <x v="35"/>
    <s v="Near Anaj Mandi, Quetta Road, Dera"/>
    <s v="7506295-7"/>
    <s v="Perkash Lal"/>
    <n v="5340118697359"/>
  </r>
  <r>
    <s v="New"/>
    <x v="2"/>
    <x v="4"/>
    <s v="Rashid Syed"/>
    <s v="Jello More/Theeng Mor"/>
    <s v="UBL - UNITED BANK LIMITED"/>
    <x v="1"/>
    <n v="25"/>
    <s v="025 Million"/>
    <s v="Sole Proprietorship"/>
    <n v="12"/>
    <s v="NIL"/>
    <n v="1007647"/>
    <n v="3011906"/>
    <x v="36"/>
    <s v="TODAY PUR ROAD ,ROSHAN BHELLA KASUR"/>
    <s v="7412975-8"/>
    <s v="MUHAMMAD RAFIQ"/>
    <n v="3510297337503"/>
  </r>
  <r>
    <s v="New"/>
    <x v="2"/>
    <x v="4"/>
    <s v="Rashid Syed"/>
    <s v="Jello More/Theeng Mor"/>
    <s v="UBL - UNITED BANK LIMITED"/>
    <x v="1"/>
    <n v="25"/>
    <s v="025 Million"/>
    <s v="Sole Proprietorship"/>
    <n v="12"/>
    <s v="NIL"/>
    <n v="1000123"/>
    <n v="3000123"/>
    <x v="37"/>
    <s v="ARZANI PUR ADDAH "/>
    <s v="3756518-4"/>
    <s v="MUHAMMAD SAAD"/>
    <n v="3510194238011"/>
  </r>
  <r>
    <n v="639"/>
    <x v="2"/>
    <x v="8"/>
    <s v="Fahad Adnan"/>
    <s v="Sargodha"/>
    <s v="UBL - UNITED BANK LIMITED"/>
    <x v="1"/>
    <n v="25"/>
    <s v="025 Million"/>
    <s v="Sole Proprietorship"/>
    <n v="12"/>
    <s v="NIL"/>
    <n v="1002665"/>
    <n v="3003227"/>
    <x v="38"/>
    <s v="Block 7 Khushab Road Sargodha"/>
    <s v="2257385-2"/>
    <s v="Malik Safdar Hussain"/>
    <s v="38403-0336364-9"/>
  </r>
  <r>
    <n v="596"/>
    <x v="1"/>
    <x v="3"/>
    <s v="Umer Bin Masood"/>
    <s v="Nawabshah"/>
    <s v="UBL - UNITED BANK LIMITED"/>
    <x v="1"/>
    <n v="25"/>
    <s v="025 Million"/>
    <s v="Sole Proprietorship"/>
    <n v="10"/>
    <s v="NIL"/>
    <n v="1002572"/>
    <s v="3003039 / 3003040"/>
    <x v="39"/>
    <s v="60 Miles Road Near Sanghar Naka Nea"/>
    <s v="2198132-9"/>
    <s v=" Ghulam Murtaza"/>
    <n v="4540209359587"/>
  </r>
  <r>
    <n v="1006"/>
    <x v="1"/>
    <x v="2"/>
    <s v="Fahad Aijaz"/>
    <s v="Hala"/>
    <s v="UBL - UNITED BANK LIMITED"/>
    <x v="2"/>
    <n v="50"/>
    <s v="050 Million"/>
    <s v="Sole Proprietorship"/>
    <n v="6"/>
    <s v="NIL"/>
    <n v="1001810"/>
    <n v="3005216"/>
    <x v="40"/>
    <s v="Shahdad Pur Chowk, Old national Highway, Hala new, Matiari."/>
    <s v="7135133-5"/>
    <s v="Uzair Memon"/>
    <n v="4180206052103"/>
  </r>
  <r>
    <n v="10"/>
    <x v="0"/>
    <x v="10"/>
    <s v="Haris Wasim"/>
    <s v="Khanewal"/>
    <s v="UBL - UNITED BANK LIMITED"/>
    <x v="1"/>
    <n v="25"/>
    <s v="025 Million"/>
    <s v="Individual"/>
    <n v="16"/>
    <s v="NIL"/>
    <n v="1002714"/>
    <m/>
    <x v="41"/>
    <s v="Khanewal Road, Kabirwala, Khanewal"/>
    <s v="4430705-5"/>
    <s v="Akhtar Javed"/>
    <s v="3610224563217"/>
  </r>
  <r>
    <n v="883"/>
    <x v="1"/>
    <x v="3"/>
    <s v="Umer Bin Masood"/>
    <s v="Dadu/K.N Shah"/>
    <s v="UBL - UNITED BANK LIMITED"/>
    <x v="1"/>
    <n v="25"/>
    <s v="025 Million"/>
    <s v="Sole Proprietorship"/>
    <n v="2"/>
    <s v="NIL"/>
    <n v="1007368"/>
    <s v="3009934 / 3011058"/>
    <x v="42"/>
    <s v="Main Road Dadu"/>
    <s v="9546272-8"/>
    <s v="Avinash Kumar"/>
    <n v="4420638696711"/>
  </r>
  <r>
    <n v="1008"/>
    <x v="1"/>
    <x v="3"/>
    <s v="Umer Bin Masood"/>
    <s v="Tando Adam"/>
    <s v="UBL - UNITED BANK LIMITED"/>
    <x v="1"/>
    <n v="25"/>
    <s v="025 Million"/>
    <s v="Sole Proprietorship"/>
    <n v="0"/>
    <s v="NIL"/>
    <n v="1009527"/>
    <n v="3012088"/>
    <x v="43"/>
    <s v="M.A Jinnah Road Tando Adam"/>
    <s v="0852191-3"/>
    <s v="Aneel Kumar"/>
    <s v="4420601564557"/>
  </r>
  <r>
    <n v="417"/>
    <x v="2"/>
    <x v="4"/>
    <s v="Rashid Syed "/>
    <s v="Hafizabad/Jalalpur"/>
    <s v="UBL - UNITED BANK LIMITED"/>
    <x v="0"/>
    <n v="100"/>
    <s v="100 Million"/>
    <s v="Sole Proprietorship"/>
    <n v="6.9"/>
    <s v="NIL"/>
    <n v="1002199"/>
    <n v="3011108"/>
    <x v="44"/>
    <s v="HEAD OFFICE H.# 429 SECTOR-K ST # 8 DHA PHASE-5"/>
    <s v="0466337-3"/>
    <s v=" Abdul Karim"/>
    <n v="3640208222591"/>
  </r>
  <r>
    <s v="New"/>
    <x v="2"/>
    <x v="4"/>
    <s v="Rashid Syed"/>
    <s v="Jello More/Theeng Mor"/>
    <s v="UBL - UNITED BANK LIMITED"/>
    <x v="1"/>
    <n v="25"/>
    <s v="025 Million"/>
    <s v="Sole Proprietorship"/>
    <n v="12"/>
    <s v="NIL"/>
    <n v="1008190"/>
    <n v="3010920"/>
    <x v="45"/>
    <s v="MAIN RIWIND ROAD NEAR GRAND MARKET KOR RADHA KIRISHAN"/>
    <s v="3781713-2"/>
    <s v="UMAR RIAZ"/>
    <n v="3110465594901"/>
  </r>
  <r>
    <n v="13"/>
    <x v="0"/>
    <x v="10"/>
    <s v="Haris Wasim"/>
    <s v="Khanewal"/>
    <s v="UBL - UNITED BANK LIMITED"/>
    <x v="1"/>
    <n v="25"/>
    <s v="025 Million"/>
    <s v="Individual"/>
    <n v="15"/>
    <s v="NIL"/>
    <n v="1002722"/>
    <m/>
    <x v="46"/>
    <s v="Ayub road outside grain market Khan, Khanewal"/>
    <s v="3788172-8"/>
    <s v="Allah Rakha"/>
    <s v="3610367068955"/>
  </r>
  <r>
    <n v="174"/>
    <x v="1"/>
    <x v="2"/>
    <s v="Fahad Aijaz"/>
    <s v="Mirpurkhas"/>
    <s v="UBL - UNITED BANK LIMITED"/>
    <x v="3"/>
    <n v="75"/>
    <s v="075 Million"/>
    <s v="Sole Proprietorship"/>
    <n v="7.6328767123287671"/>
    <s v="NIL"/>
    <n v="1000981"/>
    <s v="3000979/30005129"/>
    <x v="47"/>
    <s v="Main Jarwari Shakh chowk Mirwah Road Mirpurkhas"/>
    <s v="5222642-5"/>
    <s v=" Moez Hassan"/>
    <n v="4410231876813"/>
  </r>
  <r>
    <n v="5"/>
    <x v="0"/>
    <x v="10"/>
    <s v="Haris Wasim"/>
    <s v="Khanewal"/>
    <s v="UBL - UNITED BANK LIMITED"/>
    <x v="1"/>
    <n v="25"/>
    <s v="025 Million"/>
    <s v="Individual"/>
    <n v="9"/>
    <s v="NIL"/>
    <n v="1001681"/>
    <m/>
    <x v="48"/>
    <s v="Zafrullah Chowk Rahem Shah Road Jah, Khanewal"/>
    <s v="4177579-1"/>
    <s v="Muhammad Ejaz"/>
    <s v="3610166638407"/>
  </r>
  <r>
    <n v="440"/>
    <x v="2"/>
    <x v="8"/>
    <s v="Fahad Adnan"/>
    <s v="Sargodha"/>
    <s v="UBL - UNITED BANK LIMITED"/>
    <x v="1"/>
    <n v="25"/>
    <s v="025 Million"/>
    <s v="Sole Proprietorship"/>
    <n v="12"/>
    <s v="NIL"/>
    <n v="1002239"/>
    <n v="3002319"/>
    <x v="49"/>
    <s v="Block 7 Khushab Road Sargodha"/>
    <s v="0417998-6"/>
    <s v="Sheikh Tariq Javed"/>
    <s v="38403-0154595-9"/>
  </r>
  <r>
    <n v="16"/>
    <x v="0"/>
    <x v="11"/>
    <s v="Haris Wasim"/>
    <s v="Mianchanu"/>
    <s v="UBL - UNITED BANK LIMITED"/>
    <x v="0"/>
    <n v="100"/>
    <s v="100 Million"/>
    <s v="Individual"/>
    <n v="6"/>
    <s v="NIL"/>
    <n v="1003160"/>
    <m/>
    <x v="50"/>
    <s v="Multan Road, Manga Mandi near Larri, Manga Mandi"/>
    <s v="5603076-0"/>
    <s v="Muhammad Yousaf Karim"/>
    <s v="3640298088975"/>
  </r>
  <r>
    <n v="218"/>
    <x v="2"/>
    <x v="5"/>
    <s v="Shahzad Rashid "/>
    <s v="Jhang"/>
    <s v="UBL - UNITED BANK LIMITED"/>
    <x v="1"/>
    <n v="25"/>
    <s v="025 Million"/>
    <s v="Company/Corporation"/>
    <n v="12"/>
    <s v="NIL"/>
    <n v="1001187"/>
    <n v="3001183"/>
    <x v="51"/>
    <s v="Layah Road, Garh More Layah Road"/>
    <s v="7250777-8"/>
    <s v="Muhammad Tariq"/>
    <n v="3277876227922"/>
  </r>
  <r>
    <n v="11"/>
    <x v="0"/>
    <x v="10"/>
    <s v="Haris Wasim"/>
    <s v="Mian channu"/>
    <s v="UBL - UNITED BANK LIMITED"/>
    <x v="1"/>
    <n v="25"/>
    <s v="025 Million"/>
    <s v="Individual"/>
    <n v="16"/>
    <s v="NIL"/>
    <n v="1002715"/>
    <m/>
    <x v="52"/>
    <s v="Main Bazar Abdul Hakeem, Khanewal"/>
    <s v="1383974-8"/>
    <s v="Dilshad Ahmed"/>
    <s v="3610218860885"/>
  </r>
  <r>
    <n v="4"/>
    <x v="0"/>
    <x v="10"/>
    <s v="Haris Wasim"/>
    <s v="Khanewal"/>
    <s v="UBL - UNITED BANK LIMITED"/>
    <x v="1"/>
    <n v="25"/>
    <s v="025 Million"/>
    <s v="Individual"/>
    <n v="15"/>
    <s v="NIL"/>
    <n v="1001679"/>
    <m/>
    <x v="53"/>
    <s v="Grain Market, Jahania Grain Market,, Khanewal"/>
    <s v="3010343-6"/>
    <s v="Waseem Iftikhar"/>
    <s v="3610176109183"/>
  </r>
  <r>
    <n v="998"/>
    <x v="2"/>
    <x v="5"/>
    <s v="Shahzad Rashid "/>
    <s v="Jhang"/>
    <s v="UBL - UNITED BANK LIMITED"/>
    <x v="2"/>
    <n v="50"/>
    <s v="050 Million"/>
    <s v="Sole Proprietorship"/>
    <n v="12"/>
    <s v="NIL"/>
    <n v="1009205"/>
    <n v="3011732"/>
    <x v="54"/>
    <s v="Grain Market Toba Road Jhang Sadar"/>
    <s v="4168041-3"/>
    <s v="Hassan Raza Sheikh"/>
    <s v="33202-3108945-9"/>
  </r>
  <r>
    <n v="969"/>
    <x v="1"/>
    <x v="2"/>
    <s v="Fahad Aijaz"/>
    <s v="Kunri / Jhudo / Mirpurkhas"/>
    <s v="UBL - UNITED BANK LIMITED"/>
    <x v="2"/>
    <n v="50"/>
    <s v="050 Million"/>
    <s v="Sole Proprietorship"/>
    <n v="1.6383561643835616"/>
    <s v="NIL"/>
    <n v="1008588"/>
    <s v="3010978 , 3011023 , 3011387"/>
    <x v="55"/>
    <s v="Umerkot Road Chorre Cant"/>
    <s v="7505382-3"/>
    <s v="Anand Kumar"/>
    <n v="4410387018339"/>
  </r>
  <r>
    <n v="940"/>
    <x v="1"/>
    <x v="3"/>
    <s v="Umer Bin Masood"/>
    <s v="Sanghar "/>
    <s v="UBL - UNITED BANK LIMITED"/>
    <x v="3"/>
    <n v="75"/>
    <s v="075 Million"/>
    <s v="Sole Proprietorship"/>
    <n v="1"/>
    <s v="NIL"/>
    <n v="1007711"/>
    <n v="3010457"/>
    <x v="56"/>
    <s v="New Shan Cottton Jinners Mirpurkhas road"/>
    <s v="1122382-7"/>
    <s v="ASAR URF ASARMAL"/>
    <n v="41303473171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M5:Q21" firstHeaderRow="0" firstDataRow="1" firstDataCol="3" rowPageCount="1" colPageCount="1"/>
  <pivotFields count="19">
    <pivotField compact="0" showAll="0"/>
    <pivotField axis="axisRow" compact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compact="0" showAll="0" sortType="descending">
      <items count="13">
        <item sd="0" x="5"/>
        <item sd="0" x="2"/>
        <item sd="0" x="10"/>
        <item sd="0" x="4"/>
        <item sd="0" x="6"/>
        <item sd="0" x="11"/>
        <item sd="0" x="0"/>
        <item sd="0" x="3"/>
        <item sd="0" x="7"/>
        <item sd="0" x="9"/>
        <item sd="0" x="8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axis="axisRow" compact="0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Page" compact="0" showAll="0">
      <items count="58">
        <item x="20"/>
        <item x="54"/>
        <item x="44"/>
        <item x="50"/>
        <item x="34"/>
        <item x="52"/>
        <item x="22"/>
        <item x="27"/>
        <item x="30"/>
        <item x="40"/>
        <item x="15"/>
        <item x="42"/>
        <item x="51"/>
        <item x="6"/>
        <item x="33"/>
        <item x="39"/>
        <item x="9"/>
        <item x="10"/>
        <item x="48"/>
        <item x="32"/>
        <item x="19"/>
        <item x="31"/>
        <item x="35"/>
        <item x="36"/>
        <item x="17"/>
        <item x="53"/>
        <item x="3"/>
        <item x="37"/>
        <item x="14"/>
        <item x="38"/>
        <item x="12"/>
        <item x="23"/>
        <item x="41"/>
        <item x="16"/>
        <item x="55"/>
        <item x="47"/>
        <item x="56"/>
        <item x="26"/>
        <item x="46"/>
        <item x="18"/>
        <item x="8"/>
        <item x="21"/>
        <item x="0"/>
        <item x="29"/>
        <item x="2"/>
        <item x="28"/>
        <item x="4"/>
        <item x="25"/>
        <item x="43"/>
        <item x="24"/>
        <item x="5"/>
        <item x="11"/>
        <item x="1"/>
        <item x="13"/>
        <item x="7"/>
        <item x="49"/>
        <item x="45"/>
        <item t="default"/>
      </items>
    </pivotField>
    <pivotField compact="0" showAll="0"/>
    <pivotField compact="0" showAll="0"/>
    <pivotField compact="0" showAll="0"/>
    <pivotField compact="0" showAll="0"/>
  </pivotFields>
  <rowFields count="3">
    <field x="1"/>
    <field x="2"/>
    <field x="6"/>
  </rowFields>
  <rowItems count="16">
    <i>
      <x v="2"/>
    </i>
    <i r="1">
      <x v="7"/>
    </i>
    <i r="1">
      <x v="11"/>
    </i>
    <i r="1">
      <x v="1"/>
    </i>
    <i>
      <x/>
    </i>
    <i r="1">
      <x v="2"/>
    </i>
    <i r="1">
      <x v="6"/>
    </i>
    <i r="1">
      <x v="8"/>
    </i>
    <i r="1">
      <x v="4"/>
    </i>
    <i r="1">
      <x v="5"/>
    </i>
    <i>
      <x v="1"/>
    </i>
    <i r="1">
      <x v="3"/>
    </i>
    <i r="1">
      <x/>
    </i>
    <i r="1">
      <x v="10"/>
    </i>
    <i r="1"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4" hier="-1"/>
  </pageFields>
  <dataFields count="2">
    <dataField name="# Dealers" fld="12" subtotal="count" baseField="6" baseItem="0"/>
    <dataField name="Rec. Limit (PKR Mn)" fld="7" baseField="1" baseItem="2" numFmtId="164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Count of Sold To Party Number" fld="12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compact="0" outline="1" outlineData="1" compactData="0" multipleFieldFilters="0">
  <location ref="G5:J21" firstHeaderRow="0" firstDataRow="1" firstDataCol="2" rowPageCount="1" colPageCount="1"/>
  <pivotFields count="19">
    <pivotField compact="0" showAll="0"/>
    <pivotField axis="axisRow" compact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compact="0" showAll="0" sortType="descending">
      <items count="13">
        <item sd="0" x="5"/>
        <item sd="0" x="2"/>
        <item sd="0" x="10"/>
        <item sd="0" x="4"/>
        <item sd="0" x="6"/>
        <item sd="0" x="11"/>
        <item sd="0" x="0"/>
        <item sd="0" x="3"/>
        <item sd="0" x="7"/>
        <item sd="0" x="9"/>
        <item sd="0" x="8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Page" compact="0" showAll="0" sortType="descending">
      <items count="58">
        <item x="20"/>
        <item x="54"/>
        <item x="44"/>
        <item x="50"/>
        <item x="34"/>
        <item x="52"/>
        <item x="22"/>
        <item x="27"/>
        <item x="30"/>
        <item x="40"/>
        <item x="15"/>
        <item x="42"/>
        <item x="51"/>
        <item x="6"/>
        <item x="33"/>
        <item x="39"/>
        <item x="9"/>
        <item x="10"/>
        <item x="48"/>
        <item x="32"/>
        <item x="19"/>
        <item x="31"/>
        <item x="35"/>
        <item x="36"/>
        <item x="17"/>
        <item x="53"/>
        <item x="3"/>
        <item x="37"/>
        <item x="14"/>
        <item x="38"/>
        <item x="12"/>
        <item x="23"/>
        <item x="41"/>
        <item x="16"/>
        <item x="55"/>
        <item x="47"/>
        <item x="56"/>
        <item x="26"/>
        <item x="46"/>
        <item x="18"/>
        <item x="8"/>
        <item x="21"/>
        <item x="0"/>
        <item x="29"/>
        <item x="2"/>
        <item x="28"/>
        <item x="4"/>
        <item x="25"/>
        <item x="43"/>
        <item x="24"/>
        <item x="5"/>
        <item x="11"/>
        <item x="1"/>
        <item x="13"/>
        <item x="7"/>
        <item x="49"/>
        <item x="4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</pivotFields>
  <rowFields count="2">
    <field x="1"/>
    <field x="2"/>
  </rowFields>
  <rowItems count="16">
    <i>
      <x v="2"/>
    </i>
    <i r="1">
      <x v="7"/>
    </i>
    <i r="1">
      <x v="11"/>
    </i>
    <i r="1">
      <x v="1"/>
    </i>
    <i>
      <x/>
    </i>
    <i r="1">
      <x v="2"/>
    </i>
    <i r="1">
      <x v="6"/>
    </i>
    <i r="1">
      <x v="8"/>
    </i>
    <i r="1">
      <x v="4"/>
    </i>
    <i r="1">
      <x v="5"/>
    </i>
    <i>
      <x v="1"/>
    </i>
    <i r="1">
      <x v="3"/>
    </i>
    <i r="1">
      <x/>
    </i>
    <i r="1">
      <x v="10"/>
    </i>
    <i r="1"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4" hier="-1"/>
  </pageFields>
  <dataFields count="2">
    <dataField name="# Dealers" fld="12" subtotal="count" baseField="6" baseItem="0"/>
    <dataField name="Rec. Limit (PKR Mn)" fld="7" baseField="1" baseItem="2" numFmtId="164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4"/>
  <sheetViews>
    <sheetView tabSelected="1" view="pageBreakPreview" zoomScale="26" zoomScaleNormal="26" zoomScaleSheetLayoutView="26" workbookViewId="0">
      <selection activeCell="N23" sqref="N23"/>
    </sheetView>
  </sheetViews>
  <sheetFormatPr defaultColWidth="255.09765625" defaultRowHeight="44.4"/>
  <cols>
    <col min="1" max="1" width="17" style="19" bestFit="1" customWidth="1"/>
    <col min="2" max="2" width="24.8984375" style="24" customWidth="1"/>
    <col min="3" max="3" width="29.3984375" style="25" bestFit="1" customWidth="1"/>
    <col min="4" max="4" width="36.09765625" style="25" bestFit="1" customWidth="1"/>
    <col min="5" max="5" width="90" style="19" hidden="1" customWidth="1"/>
    <col min="6" max="6" width="99.69921875" style="19" hidden="1" customWidth="1"/>
    <col min="7" max="7" width="78.59765625" style="19" bestFit="1" customWidth="1"/>
    <col min="8" max="8" width="30.5" style="19" hidden="1" customWidth="1"/>
    <col min="9" max="9" width="39.3984375" style="19" bestFit="1" customWidth="1"/>
    <col min="10" max="10" width="54.8984375" style="19" customWidth="1"/>
    <col min="11" max="11" width="41.59765625" style="23" customWidth="1"/>
    <col min="12" max="12" width="53.3984375" style="31" bestFit="1" customWidth="1"/>
    <col min="13" max="13" width="53.3984375" style="31" hidden="1" customWidth="1"/>
    <col min="14" max="14" width="53.3984375" style="31" customWidth="1"/>
    <col min="15" max="15" width="62.09765625" style="19" bestFit="1" customWidth="1"/>
    <col min="16" max="16" width="49.09765625" style="19" bestFit="1" customWidth="1"/>
    <col min="17" max="17" width="115.3984375" style="25" customWidth="1"/>
    <col min="18" max="18" width="104" style="25" customWidth="1"/>
    <col min="19" max="19" width="23.09765625" style="25" hidden="1" customWidth="1"/>
    <col min="20" max="20" width="94.296875" style="30" customWidth="1"/>
    <col min="21" max="21" width="42" style="19" bestFit="1" customWidth="1"/>
    <col min="22" max="22" width="27.3984375" style="22" bestFit="1" customWidth="1"/>
    <col min="23" max="23" width="42" style="23" bestFit="1" customWidth="1"/>
    <col min="24" max="24" width="30.8984375" style="22" bestFit="1" customWidth="1"/>
    <col min="25" max="25" width="47.19921875" style="23" bestFit="1" customWidth="1"/>
    <col min="26" max="26" width="30.8984375" style="22" bestFit="1" customWidth="1"/>
    <col min="27" max="27" width="115.09765625" style="22" customWidth="1"/>
    <col min="28" max="28" width="64.69921875" style="19" bestFit="1" customWidth="1"/>
    <col min="29" max="29" width="55.69921875" style="19" bestFit="1" customWidth="1"/>
    <col min="30" max="30" width="68.8984375" style="61" bestFit="1" customWidth="1"/>
    <col min="31" max="31" width="55.69921875" style="19" bestFit="1" customWidth="1"/>
    <col min="32" max="16384" width="255.09765625" style="19"/>
  </cols>
  <sheetData>
    <row r="1" spans="2:30" ht="60" customHeight="1">
      <c r="B1" s="71" t="s">
        <v>53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</row>
    <row r="2" spans="2:30">
      <c r="B2" s="3"/>
      <c r="C2" s="4"/>
      <c r="D2" s="4"/>
      <c r="E2" s="2"/>
      <c r="F2" s="2"/>
      <c r="G2" s="2"/>
      <c r="H2" s="2"/>
      <c r="I2" s="1"/>
      <c r="J2" s="2"/>
      <c r="K2" s="5"/>
      <c r="L2" s="6"/>
      <c r="M2" s="6"/>
      <c r="N2" s="6"/>
      <c r="O2" s="2"/>
      <c r="P2" s="2"/>
      <c r="Q2" s="4"/>
      <c r="R2" s="4"/>
      <c r="S2" s="4"/>
      <c r="T2" s="7"/>
      <c r="U2" s="2"/>
      <c r="V2" s="8"/>
      <c r="W2" s="5"/>
      <c r="X2" s="8"/>
      <c r="Y2" s="5"/>
      <c r="Z2" s="8"/>
      <c r="AA2" s="8"/>
    </row>
    <row r="3" spans="2:30" ht="60">
      <c r="B3" s="34" t="s">
        <v>447</v>
      </c>
      <c r="C3" s="4"/>
      <c r="D3" s="4"/>
      <c r="E3" s="2"/>
      <c r="F3" s="2"/>
      <c r="G3" s="2"/>
      <c r="H3" s="2"/>
      <c r="I3" s="1"/>
      <c r="J3" s="2"/>
      <c r="K3" s="5"/>
      <c r="L3" s="6"/>
      <c r="M3" s="6"/>
      <c r="N3" s="6"/>
      <c r="O3" s="2"/>
      <c r="P3" s="2"/>
      <c r="Q3" s="4"/>
      <c r="R3" s="4"/>
      <c r="S3" s="4"/>
      <c r="T3" s="7"/>
      <c r="U3" s="2"/>
      <c r="V3" s="8"/>
      <c r="W3" s="5"/>
      <c r="X3" s="8"/>
      <c r="Y3" s="5"/>
      <c r="Z3" s="8"/>
      <c r="AA3" s="8"/>
    </row>
    <row r="4" spans="2:30" ht="60">
      <c r="B4" s="34" t="s">
        <v>446</v>
      </c>
      <c r="C4" s="4"/>
      <c r="D4" s="4"/>
      <c r="E4" s="2"/>
      <c r="F4" s="2"/>
      <c r="G4" s="2"/>
      <c r="H4" s="2"/>
      <c r="I4" s="1"/>
      <c r="J4" s="2"/>
      <c r="K4" s="5"/>
      <c r="L4" s="6"/>
      <c r="M4" s="6"/>
      <c r="N4" s="6"/>
      <c r="O4" s="2"/>
      <c r="P4" s="2"/>
      <c r="Q4" s="4"/>
      <c r="R4" s="4"/>
      <c r="S4" s="4"/>
      <c r="T4" s="7"/>
      <c r="U4" s="2"/>
      <c r="V4" s="8"/>
      <c r="W4" s="5"/>
      <c r="X4" s="8"/>
      <c r="Y4" s="5"/>
      <c r="Z4" s="8"/>
      <c r="AA4" s="8"/>
    </row>
    <row r="5" spans="2:30" ht="60">
      <c r="B5" s="34" t="s">
        <v>70</v>
      </c>
      <c r="C5" s="4"/>
      <c r="D5" s="4"/>
      <c r="E5" s="2"/>
      <c r="F5" s="2"/>
      <c r="G5" s="2"/>
      <c r="H5" s="2"/>
      <c r="I5" s="1"/>
      <c r="J5" s="2"/>
      <c r="K5" s="5"/>
      <c r="L5" s="6"/>
      <c r="M5" s="6"/>
      <c r="N5" s="6"/>
      <c r="O5" s="2"/>
      <c r="P5" s="2"/>
      <c r="Q5" s="4"/>
      <c r="R5" s="4"/>
      <c r="S5" s="4"/>
      <c r="T5" s="7"/>
      <c r="U5" s="2"/>
      <c r="V5" s="8"/>
      <c r="W5" s="5"/>
      <c r="X5" s="8"/>
      <c r="Y5" s="5"/>
      <c r="Z5" s="8"/>
      <c r="AA5" s="8"/>
    </row>
    <row r="6" spans="2:30" ht="60">
      <c r="B6" s="34" t="s">
        <v>445</v>
      </c>
      <c r="C6" s="4"/>
      <c r="D6" s="4"/>
      <c r="E6" s="2"/>
      <c r="F6" s="2"/>
      <c r="G6" s="2"/>
      <c r="H6" s="2"/>
      <c r="I6" s="1"/>
      <c r="J6" s="2"/>
      <c r="K6" s="5"/>
      <c r="L6" s="6"/>
      <c r="M6" s="6"/>
      <c r="N6" s="6"/>
      <c r="O6" s="2"/>
      <c r="P6" s="2"/>
      <c r="Q6" s="4"/>
      <c r="R6" s="4"/>
      <c r="S6" s="4"/>
      <c r="T6" s="7"/>
      <c r="U6" s="2"/>
      <c r="V6" s="8"/>
      <c r="W6" s="5"/>
      <c r="X6" s="8"/>
      <c r="Y6" s="5"/>
      <c r="Z6" s="8"/>
      <c r="AA6" s="8"/>
    </row>
    <row r="7" spans="2:30" ht="60">
      <c r="B7" s="34" t="s">
        <v>73</v>
      </c>
      <c r="C7" s="4"/>
      <c r="D7" s="4"/>
      <c r="E7" s="2"/>
      <c r="F7" s="2"/>
      <c r="G7" s="2"/>
      <c r="H7" s="2"/>
      <c r="I7" s="1"/>
      <c r="J7" s="2"/>
      <c r="K7" s="5"/>
      <c r="L7" s="6"/>
      <c r="M7" s="6"/>
      <c r="N7" s="6"/>
      <c r="O7" s="2"/>
      <c r="P7" s="2"/>
      <c r="Q7" s="4"/>
      <c r="R7" s="4"/>
      <c r="S7" s="4"/>
      <c r="T7" s="7"/>
      <c r="U7" s="2"/>
      <c r="V7" s="8"/>
      <c r="W7" s="5"/>
      <c r="X7" s="8"/>
      <c r="Y7" s="5"/>
      <c r="Z7" s="8"/>
      <c r="AA7" s="8"/>
    </row>
    <row r="8" spans="2:30" s="33" customFormat="1" ht="60">
      <c r="B8" s="34" t="s">
        <v>54</v>
      </c>
      <c r="C8" s="4"/>
      <c r="D8" s="4"/>
      <c r="E8" s="2"/>
      <c r="F8" s="2"/>
      <c r="G8" s="2"/>
      <c r="H8" s="2"/>
      <c r="I8" s="1"/>
      <c r="J8" s="2"/>
      <c r="K8" s="5"/>
      <c r="L8" s="6"/>
      <c r="M8" s="6"/>
      <c r="N8" s="6"/>
      <c r="O8" s="2"/>
      <c r="P8" s="2"/>
      <c r="Q8" s="4"/>
      <c r="R8" s="4"/>
      <c r="S8" s="4"/>
      <c r="T8" s="7"/>
      <c r="U8" s="2"/>
      <c r="V8" s="8"/>
      <c r="W8" s="5"/>
      <c r="X8" s="8"/>
      <c r="Y8" s="5"/>
      <c r="Z8" s="8"/>
      <c r="AA8" s="8"/>
      <c r="AD8" s="62"/>
    </row>
    <row r="9" spans="2:30" ht="60">
      <c r="B9" s="34"/>
      <c r="C9" s="4"/>
      <c r="D9" s="4"/>
      <c r="E9" s="2"/>
      <c r="F9" s="2"/>
      <c r="G9" s="2"/>
      <c r="H9" s="2"/>
      <c r="I9" s="1"/>
      <c r="J9" s="2"/>
      <c r="K9" s="5"/>
      <c r="L9" s="6"/>
      <c r="M9" s="6"/>
      <c r="N9" s="6"/>
      <c r="O9" s="2"/>
      <c r="P9" s="2"/>
      <c r="Q9" s="4"/>
      <c r="R9" s="4"/>
      <c r="S9" s="4"/>
      <c r="T9" s="7"/>
      <c r="U9" s="2"/>
      <c r="V9" s="8"/>
      <c r="W9" s="5"/>
      <c r="X9" s="8"/>
      <c r="Y9" s="5"/>
      <c r="Z9" s="8"/>
      <c r="AA9" s="8"/>
    </row>
    <row r="10" spans="2:30" ht="60.6" thickBot="1">
      <c r="B10" s="34"/>
      <c r="C10" s="4"/>
      <c r="D10" s="4"/>
      <c r="E10" s="2"/>
      <c r="F10" s="2"/>
      <c r="G10" s="2"/>
      <c r="H10" s="2"/>
      <c r="I10" s="1"/>
      <c r="J10" s="2"/>
      <c r="K10" s="5"/>
      <c r="L10" s="6"/>
      <c r="M10" s="6"/>
      <c r="N10" s="6"/>
      <c r="O10" s="2"/>
      <c r="P10" s="2"/>
      <c r="Q10" s="4"/>
      <c r="R10" s="4"/>
      <c r="S10" s="4"/>
      <c r="T10" s="7"/>
      <c r="U10" s="2"/>
      <c r="V10" s="8"/>
      <c r="W10" s="5"/>
      <c r="X10" s="8"/>
      <c r="Y10" s="5"/>
      <c r="Z10" s="8"/>
      <c r="AA10" s="8"/>
    </row>
    <row r="11" spans="2:30" ht="45" thickBot="1">
      <c r="B11" s="17"/>
      <c r="C11" s="18"/>
      <c r="D11" s="18"/>
      <c r="E11" s="17"/>
      <c r="F11" s="17"/>
      <c r="G11" s="17"/>
      <c r="H11" s="17"/>
      <c r="I11" s="17"/>
      <c r="K11" s="36" t="s">
        <v>0</v>
      </c>
      <c r="L11" s="37" t="s">
        <v>1</v>
      </c>
      <c r="M11" s="67"/>
      <c r="N11" s="67"/>
      <c r="P11" s="17"/>
      <c r="Q11" s="18"/>
      <c r="R11" s="18"/>
      <c r="S11" s="18"/>
      <c r="T11" s="20"/>
      <c r="U11" s="21"/>
    </row>
    <row r="12" spans="2:30" ht="45.6" thickBot="1">
      <c r="E12" s="24"/>
      <c r="F12" s="24"/>
      <c r="G12" s="24"/>
      <c r="H12" s="24"/>
      <c r="I12" s="24"/>
      <c r="K12" s="38" t="s">
        <v>2</v>
      </c>
      <c r="L12" s="39" t="s">
        <v>74</v>
      </c>
      <c r="M12" s="68"/>
      <c r="N12" s="68"/>
      <c r="O12" s="26"/>
      <c r="P12" s="24"/>
      <c r="S12" s="27"/>
      <c r="T12" s="28"/>
      <c r="U12" s="29"/>
    </row>
    <row r="13" spans="2:30" ht="45.6" thickBot="1">
      <c r="E13" s="24"/>
      <c r="F13" s="24"/>
      <c r="G13" s="24"/>
      <c r="H13" s="24"/>
      <c r="I13" s="24"/>
      <c r="K13" s="38" t="s">
        <v>3</v>
      </c>
      <c r="L13" s="39" t="s">
        <v>443</v>
      </c>
      <c r="M13" s="68"/>
      <c r="N13" s="68"/>
      <c r="O13" s="26"/>
      <c r="P13" s="24"/>
      <c r="S13" s="27"/>
      <c r="T13" s="28"/>
      <c r="U13" s="29"/>
    </row>
    <row r="14" spans="2:30" ht="45.6" thickBot="1">
      <c r="E14" s="24"/>
      <c r="F14" s="24"/>
      <c r="G14" s="24"/>
      <c r="H14" s="24"/>
      <c r="I14" s="24"/>
      <c r="K14" s="38" t="s">
        <v>4</v>
      </c>
      <c r="L14" s="39" t="s">
        <v>71</v>
      </c>
      <c r="M14" s="68"/>
      <c r="N14" s="68"/>
      <c r="O14" s="26"/>
      <c r="P14" s="24"/>
      <c r="S14" s="27"/>
      <c r="T14" s="28"/>
      <c r="U14" s="29"/>
    </row>
    <row r="15" spans="2:30" ht="45.6" thickBot="1">
      <c r="E15" s="24"/>
      <c r="F15" s="24"/>
      <c r="G15" s="24"/>
      <c r="H15" s="24"/>
      <c r="I15" s="24"/>
      <c r="K15" s="38" t="s">
        <v>72</v>
      </c>
      <c r="L15" s="39" t="s">
        <v>444</v>
      </c>
      <c r="M15" s="68"/>
      <c r="N15" s="68"/>
      <c r="O15" s="26"/>
      <c r="P15" s="24"/>
      <c r="S15" s="27"/>
      <c r="T15" s="28"/>
      <c r="U15" s="29"/>
    </row>
    <row r="16" spans="2:30" ht="45" thickBot="1">
      <c r="E16" s="24"/>
      <c r="F16" s="24"/>
      <c r="G16" s="24"/>
      <c r="H16" s="24"/>
      <c r="I16" s="24"/>
      <c r="J16" s="24"/>
      <c r="O16" s="24"/>
      <c r="P16" s="24"/>
      <c r="Q16" s="32"/>
      <c r="U16" s="24"/>
      <c r="V16" s="23"/>
      <c r="X16" s="23"/>
    </row>
    <row r="17" spans="1:31" s="35" customFormat="1" ht="201.6" thickBot="1">
      <c r="A17" s="41" t="s">
        <v>423</v>
      </c>
      <c r="B17" s="42" t="s">
        <v>55</v>
      </c>
      <c r="C17" s="43" t="s">
        <v>6</v>
      </c>
      <c r="D17" s="43" t="s">
        <v>424</v>
      </c>
      <c r="E17" s="43" t="s">
        <v>56</v>
      </c>
      <c r="F17" s="44" t="s">
        <v>440</v>
      </c>
      <c r="G17" s="45" t="s">
        <v>441</v>
      </c>
      <c r="H17" s="65" t="s">
        <v>451</v>
      </c>
      <c r="I17" s="46" t="s">
        <v>442</v>
      </c>
      <c r="J17" s="47" t="s">
        <v>425</v>
      </c>
      <c r="K17" s="47" t="s">
        <v>426</v>
      </c>
      <c r="L17" s="47" t="s">
        <v>427</v>
      </c>
      <c r="M17" s="69" t="s">
        <v>456</v>
      </c>
      <c r="N17" s="70" t="s">
        <v>464</v>
      </c>
      <c r="O17" s="48" t="s">
        <v>428</v>
      </c>
      <c r="P17" s="49" t="s">
        <v>429</v>
      </c>
      <c r="Q17" s="48" t="s">
        <v>430</v>
      </c>
      <c r="R17" s="48" t="s">
        <v>5</v>
      </c>
      <c r="S17" s="50" t="s">
        <v>9</v>
      </c>
      <c r="T17" s="49" t="s">
        <v>431</v>
      </c>
      <c r="U17" s="51" t="s">
        <v>8</v>
      </c>
      <c r="V17" s="52"/>
      <c r="W17" s="50" t="s">
        <v>10</v>
      </c>
      <c r="X17" s="53" t="s">
        <v>432</v>
      </c>
      <c r="Y17" s="54" t="s">
        <v>433</v>
      </c>
      <c r="Z17" s="55" t="s">
        <v>434</v>
      </c>
      <c r="AA17" s="54" t="s">
        <v>435</v>
      </c>
      <c r="AB17" s="56" t="s">
        <v>436</v>
      </c>
      <c r="AC17" s="54" t="s">
        <v>437</v>
      </c>
      <c r="AD17" s="63" t="s">
        <v>438</v>
      </c>
      <c r="AE17" s="54" t="s">
        <v>439</v>
      </c>
    </row>
    <row r="18" spans="1:31" s="26" customFormat="1">
      <c r="A18" s="40">
        <v>80</v>
      </c>
      <c r="B18" s="40" t="s">
        <v>181</v>
      </c>
      <c r="C18" s="40" t="s">
        <v>11</v>
      </c>
      <c r="D18" s="40" t="s">
        <v>183</v>
      </c>
      <c r="E18" s="40" t="s">
        <v>12</v>
      </c>
      <c r="F18" s="40" t="s">
        <v>82</v>
      </c>
      <c r="G18" s="40" t="s">
        <v>2</v>
      </c>
      <c r="H18" s="40">
        <f>_xlfn.NUMBERVALUE(LEFT(I18,3))</f>
        <v>100</v>
      </c>
      <c r="I18" s="40" t="s">
        <v>115</v>
      </c>
      <c r="J18" s="40" t="s">
        <v>185</v>
      </c>
      <c r="K18" s="40">
        <v>12</v>
      </c>
      <c r="L18" s="40" t="s">
        <v>85</v>
      </c>
      <c r="M18" s="40"/>
      <c r="N18" s="40" t="s">
        <v>457</v>
      </c>
      <c r="O18" s="40">
        <v>1002743</v>
      </c>
      <c r="P18" s="40"/>
      <c r="Q18" s="60" t="s">
        <v>311</v>
      </c>
      <c r="R18" s="40" t="s">
        <v>312</v>
      </c>
      <c r="S18" s="40" t="s">
        <v>59</v>
      </c>
      <c r="T18" s="40" t="s">
        <v>313</v>
      </c>
      <c r="U18" s="40" t="s">
        <v>314</v>
      </c>
      <c r="V18" s="40">
        <v>13</v>
      </c>
      <c r="W18" s="40">
        <v>3008631516</v>
      </c>
      <c r="X18" s="40">
        <v>4142436004.3899837</v>
      </c>
      <c r="Y18" s="40">
        <v>44712.67500000001</v>
      </c>
      <c r="Z18" s="40">
        <v>3261227670.6899915</v>
      </c>
      <c r="AA18" s="40">
        <v>27375.375000000007</v>
      </c>
      <c r="AB18" s="40">
        <v>4777811207.6199942</v>
      </c>
      <c r="AC18" s="40">
        <v>47060</v>
      </c>
      <c r="AD18" s="64">
        <v>812451845.98000109</v>
      </c>
      <c r="AE18" s="40">
        <v>7449.5500000000011</v>
      </c>
    </row>
    <row r="19" spans="1:31" s="26" customFormat="1">
      <c r="A19" s="40">
        <v>486</v>
      </c>
      <c r="B19" s="40" t="s">
        <v>57</v>
      </c>
      <c r="C19" s="40" t="s">
        <v>121</v>
      </c>
      <c r="D19" s="40" t="s">
        <v>122</v>
      </c>
      <c r="E19" s="40" t="s">
        <v>234</v>
      </c>
      <c r="F19" s="40" t="s">
        <v>82</v>
      </c>
      <c r="G19" s="40" t="s">
        <v>2</v>
      </c>
      <c r="H19" s="40">
        <f t="shared" ref="H19:H74" si="0">_xlfn.NUMBERVALUE(LEFT(I19,3))</f>
        <v>100</v>
      </c>
      <c r="I19" s="40" t="s">
        <v>115</v>
      </c>
      <c r="J19" s="40" t="s">
        <v>84</v>
      </c>
      <c r="K19" s="40">
        <v>10.886111111111111</v>
      </c>
      <c r="L19" s="40" t="s">
        <v>85</v>
      </c>
      <c r="M19" s="40"/>
      <c r="N19" s="40" t="s">
        <v>461</v>
      </c>
      <c r="O19" s="40">
        <v>1002354</v>
      </c>
      <c r="P19" s="40" t="s">
        <v>240</v>
      </c>
      <c r="Q19" s="40" t="s">
        <v>75</v>
      </c>
      <c r="R19" s="40" t="s">
        <v>241</v>
      </c>
      <c r="S19" s="40" t="s">
        <v>77</v>
      </c>
      <c r="T19" s="40" t="s">
        <v>76</v>
      </c>
      <c r="U19" s="40">
        <v>4510301494443</v>
      </c>
      <c r="V19" s="40">
        <v>13</v>
      </c>
      <c r="W19" s="40" t="s">
        <v>242</v>
      </c>
      <c r="X19" s="40">
        <v>1024924356</v>
      </c>
      <c r="Y19" s="40">
        <v>17602</v>
      </c>
      <c r="Z19" s="40">
        <v>4417755267</v>
      </c>
      <c r="AA19" s="40">
        <v>40973</v>
      </c>
      <c r="AB19" s="40">
        <v>6433206494</v>
      </c>
      <c r="AC19" s="40">
        <v>59612</v>
      </c>
      <c r="AD19" s="64">
        <v>643356334.24000037</v>
      </c>
      <c r="AE19" s="40">
        <v>6760.7999999999975</v>
      </c>
    </row>
    <row r="20" spans="1:31" s="26" customFormat="1">
      <c r="A20" s="40">
        <v>581</v>
      </c>
      <c r="B20" s="40" t="s">
        <v>57</v>
      </c>
      <c r="C20" s="40" t="s">
        <v>92</v>
      </c>
      <c r="D20" s="40" t="s">
        <v>93</v>
      </c>
      <c r="E20" s="40" t="s">
        <v>152</v>
      </c>
      <c r="F20" s="40" t="s">
        <v>82</v>
      </c>
      <c r="G20" s="40" t="s">
        <v>2</v>
      </c>
      <c r="H20" s="40">
        <f t="shared" si="0"/>
        <v>100</v>
      </c>
      <c r="I20" s="40" t="s">
        <v>115</v>
      </c>
      <c r="J20" s="40" t="s">
        <v>84</v>
      </c>
      <c r="K20" s="40">
        <v>9.7260273972602747</v>
      </c>
      <c r="L20" s="40" t="s">
        <v>85</v>
      </c>
      <c r="M20" s="40"/>
      <c r="N20" s="40" t="s">
        <v>462</v>
      </c>
      <c r="O20" s="40">
        <v>1002540</v>
      </c>
      <c r="P20" s="40" t="s">
        <v>265</v>
      </c>
      <c r="Q20" s="40" t="s">
        <v>266</v>
      </c>
      <c r="R20" s="40" t="s">
        <v>267</v>
      </c>
      <c r="S20" s="40" t="s">
        <v>268</v>
      </c>
      <c r="T20" s="40" t="s">
        <v>269</v>
      </c>
      <c r="U20" s="40">
        <v>4410395298947</v>
      </c>
      <c r="V20" s="40">
        <v>13</v>
      </c>
      <c r="W20" s="40">
        <v>3322807246</v>
      </c>
      <c r="X20" s="40">
        <v>734176069</v>
      </c>
      <c r="Y20" s="40">
        <v>15515</v>
      </c>
      <c r="Z20" s="40">
        <v>2345804969</v>
      </c>
      <c r="AA20" s="40">
        <v>23888</v>
      </c>
      <c r="AB20" s="40">
        <v>1898509642</v>
      </c>
      <c r="AC20" s="40">
        <v>19041</v>
      </c>
      <c r="AD20" s="64">
        <v>258047219.79000014</v>
      </c>
      <c r="AE20" s="40">
        <v>2084.0500000000002</v>
      </c>
    </row>
    <row r="21" spans="1:31" s="26" customFormat="1">
      <c r="A21" s="40">
        <v>87</v>
      </c>
      <c r="B21" s="40" t="s">
        <v>181</v>
      </c>
      <c r="C21" s="40" t="s">
        <v>11</v>
      </c>
      <c r="D21" s="40" t="s">
        <v>183</v>
      </c>
      <c r="E21" s="40" t="s">
        <v>12</v>
      </c>
      <c r="F21" s="40" t="s">
        <v>82</v>
      </c>
      <c r="G21" s="40" t="s">
        <v>2</v>
      </c>
      <c r="H21" s="40">
        <f t="shared" si="0"/>
        <v>100</v>
      </c>
      <c r="I21" s="40" t="s">
        <v>115</v>
      </c>
      <c r="J21" s="40" t="s">
        <v>342</v>
      </c>
      <c r="K21" s="40">
        <v>5</v>
      </c>
      <c r="L21" s="40" t="s">
        <v>85</v>
      </c>
      <c r="M21" s="40"/>
      <c r="N21" s="40" t="s">
        <v>457</v>
      </c>
      <c r="O21" s="40">
        <v>1007377</v>
      </c>
      <c r="P21" s="40"/>
      <c r="Q21" s="40" t="s">
        <v>363</v>
      </c>
      <c r="R21" s="40" t="s">
        <v>364</v>
      </c>
      <c r="S21" s="40" t="s">
        <v>365</v>
      </c>
      <c r="T21" s="40"/>
      <c r="U21" s="40" t="s">
        <v>59</v>
      </c>
      <c r="V21" s="40">
        <v>1</v>
      </c>
      <c r="W21" s="40">
        <v>3028484288</v>
      </c>
      <c r="X21" s="40">
        <v>320050209.72000086</v>
      </c>
      <c r="Y21" s="40">
        <v>6001</v>
      </c>
      <c r="Z21" s="40">
        <v>1246919764.4400027</v>
      </c>
      <c r="AA21" s="40">
        <v>10679.7</v>
      </c>
      <c r="AB21" s="40">
        <v>418775307.42000026</v>
      </c>
      <c r="AC21" s="40">
        <v>3300.5499999999997</v>
      </c>
      <c r="AD21" s="64">
        <v>227174386.11000022</v>
      </c>
      <c r="AE21" s="40">
        <v>1607.9</v>
      </c>
    </row>
    <row r="22" spans="1:31" s="26" customFormat="1">
      <c r="A22" s="40">
        <v>900</v>
      </c>
      <c r="B22" s="40" t="s">
        <v>57</v>
      </c>
      <c r="C22" s="40" t="s">
        <v>121</v>
      </c>
      <c r="D22" s="40" t="s">
        <v>122</v>
      </c>
      <c r="E22" s="40" t="s">
        <v>366</v>
      </c>
      <c r="F22" s="40" t="s">
        <v>82</v>
      </c>
      <c r="G22" s="40" t="s">
        <v>2</v>
      </c>
      <c r="H22" s="40">
        <f t="shared" si="0"/>
        <v>100</v>
      </c>
      <c r="I22" s="40" t="s">
        <v>115</v>
      </c>
      <c r="J22" s="40" t="s">
        <v>84</v>
      </c>
      <c r="K22" s="40">
        <v>3.7416666666666667</v>
      </c>
      <c r="L22" s="40" t="s">
        <v>85</v>
      </c>
      <c r="M22" s="40"/>
      <c r="N22" s="40" t="s">
        <v>461</v>
      </c>
      <c r="O22" s="40">
        <v>1007470</v>
      </c>
      <c r="P22" s="40" t="s">
        <v>367</v>
      </c>
      <c r="Q22" s="60" t="s">
        <v>368</v>
      </c>
      <c r="R22" s="40" t="s">
        <v>369</v>
      </c>
      <c r="S22" s="40" t="s">
        <v>370</v>
      </c>
      <c r="T22" s="40" t="s">
        <v>371</v>
      </c>
      <c r="U22" s="40">
        <v>4510178425083</v>
      </c>
      <c r="V22" s="40">
        <v>13</v>
      </c>
      <c r="W22" s="40" t="s">
        <v>372</v>
      </c>
      <c r="X22" s="40">
        <v>364039073.98000067</v>
      </c>
      <c r="Y22" s="40">
        <v>5571.0499999999984</v>
      </c>
      <c r="Z22" s="40">
        <v>1211546663</v>
      </c>
      <c r="AA22" s="40">
        <v>12519</v>
      </c>
      <c r="AB22" s="40">
        <v>1274361120</v>
      </c>
      <c r="AC22" s="40">
        <v>12728</v>
      </c>
      <c r="AD22" s="64">
        <v>185195917.29000002</v>
      </c>
      <c r="AE22" s="40">
        <v>1743.8</v>
      </c>
    </row>
    <row r="23" spans="1:31" s="26" customFormat="1">
      <c r="A23" s="40">
        <v>911</v>
      </c>
      <c r="B23" s="40" t="s">
        <v>57</v>
      </c>
      <c r="C23" s="40" t="s">
        <v>121</v>
      </c>
      <c r="D23" s="40" t="s">
        <v>122</v>
      </c>
      <c r="E23" s="40" t="s">
        <v>373</v>
      </c>
      <c r="F23" s="40" t="s">
        <v>82</v>
      </c>
      <c r="G23" s="40" t="s">
        <v>2</v>
      </c>
      <c r="H23" s="40">
        <f t="shared" si="0"/>
        <v>100</v>
      </c>
      <c r="I23" s="40" t="s">
        <v>115</v>
      </c>
      <c r="J23" s="40" t="s">
        <v>84</v>
      </c>
      <c r="K23" s="40">
        <v>3.6361111111111111</v>
      </c>
      <c r="L23" s="40" t="s">
        <v>85</v>
      </c>
      <c r="M23" s="40"/>
      <c r="N23" s="40" t="s">
        <v>461</v>
      </c>
      <c r="O23" s="40">
        <v>1007516</v>
      </c>
      <c r="P23" s="40" t="s">
        <v>374</v>
      </c>
      <c r="Q23" s="60" t="s">
        <v>375</v>
      </c>
      <c r="R23" s="40" t="s">
        <v>376</v>
      </c>
      <c r="S23" s="40" t="s">
        <v>377</v>
      </c>
      <c r="T23" s="40" t="s">
        <v>378</v>
      </c>
      <c r="U23" s="40">
        <v>4510110517563</v>
      </c>
      <c r="V23" s="40">
        <v>13</v>
      </c>
      <c r="W23" s="40" t="s">
        <v>372</v>
      </c>
      <c r="X23" s="40">
        <v>144566795.50999999</v>
      </c>
      <c r="Y23" s="40">
        <v>2117.1</v>
      </c>
      <c r="Z23" s="40">
        <v>836797574</v>
      </c>
      <c r="AA23" s="40">
        <v>8229</v>
      </c>
      <c r="AB23" s="40">
        <v>889878140</v>
      </c>
      <c r="AC23" s="40">
        <v>9340</v>
      </c>
      <c r="AD23" s="64">
        <v>135821429.89000002</v>
      </c>
      <c r="AE23" s="40">
        <v>1396.1000000000004</v>
      </c>
    </row>
    <row r="24" spans="1:31" s="26" customFormat="1">
      <c r="A24" s="40">
        <v>123</v>
      </c>
      <c r="B24" s="40" t="s">
        <v>57</v>
      </c>
      <c r="C24" s="40" t="s">
        <v>92</v>
      </c>
      <c r="D24" s="40" t="s">
        <v>93</v>
      </c>
      <c r="E24" s="40" t="s">
        <v>69</v>
      </c>
      <c r="F24" s="40" t="s">
        <v>82</v>
      </c>
      <c r="G24" s="40" t="s">
        <v>72</v>
      </c>
      <c r="H24" s="40">
        <f t="shared" si="0"/>
        <v>25</v>
      </c>
      <c r="I24" s="40" t="s">
        <v>94</v>
      </c>
      <c r="J24" s="40" t="s">
        <v>84</v>
      </c>
      <c r="K24" s="40">
        <v>26.92876712328767</v>
      </c>
      <c r="L24" s="40" t="s">
        <v>85</v>
      </c>
      <c r="M24" s="40"/>
      <c r="N24" s="40" t="s">
        <v>462</v>
      </c>
      <c r="O24" s="40">
        <v>1000677</v>
      </c>
      <c r="P24" s="40" t="s">
        <v>95</v>
      </c>
      <c r="Q24" s="40" t="s">
        <v>96</v>
      </c>
      <c r="R24" s="40" t="s">
        <v>97</v>
      </c>
      <c r="S24" s="40" t="s">
        <v>98</v>
      </c>
      <c r="T24" s="40" t="s">
        <v>99</v>
      </c>
      <c r="U24" s="40">
        <v>4410396550463</v>
      </c>
      <c r="V24" s="40">
        <v>13</v>
      </c>
      <c r="W24" s="40">
        <v>3342818850</v>
      </c>
      <c r="X24" s="40">
        <v>40665427</v>
      </c>
      <c r="Y24" s="40">
        <v>906</v>
      </c>
      <c r="Z24" s="40">
        <v>118137891</v>
      </c>
      <c r="AA24" s="40">
        <v>1126</v>
      </c>
      <c r="AB24" s="40">
        <v>200974454</v>
      </c>
      <c r="AC24" s="40">
        <v>2103</v>
      </c>
      <c r="AD24" s="64">
        <v>127598966.22999994</v>
      </c>
      <c r="AE24" s="40">
        <v>1267.9000000000001</v>
      </c>
    </row>
    <row r="25" spans="1:31" s="26" customFormat="1">
      <c r="A25" s="40">
        <v>863</v>
      </c>
      <c r="B25" s="40" t="s">
        <v>57</v>
      </c>
      <c r="C25" s="40" t="s">
        <v>100</v>
      </c>
      <c r="D25" s="40" t="s">
        <v>101</v>
      </c>
      <c r="E25" s="40" t="s">
        <v>337</v>
      </c>
      <c r="F25" s="40" t="s">
        <v>82</v>
      </c>
      <c r="G25" s="40" t="s">
        <v>72</v>
      </c>
      <c r="H25" s="40">
        <f t="shared" si="0"/>
        <v>25</v>
      </c>
      <c r="I25" s="40" t="s">
        <v>94</v>
      </c>
      <c r="J25" s="40" t="s">
        <v>84</v>
      </c>
      <c r="K25" s="40">
        <v>2</v>
      </c>
      <c r="L25" s="40" t="s">
        <v>85</v>
      </c>
      <c r="M25" s="40"/>
      <c r="N25" s="40" t="s">
        <v>462</v>
      </c>
      <c r="O25" s="40">
        <v>1007233</v>
      </c>
      <c r="P25" s="40" t="s">
        <v>352</v>
      </c>
      <c r="Q25" s="40" t="s">
        <v>353</v>
      </c>
      <c r="R25" s="40" t="s">
        <v>354</v>
      </c>
      <c r="S25" s="40" t="s">
        <v>355</v>
      </c>
      <c r="T25" s="40" t="s">
        <v>356</v>
      </c>
      <c r="U25" s="40">
        <v>4540176777971</v>
      </c>
      <c r="V25" s="40">
        <v>13</v>
      </c>
      <c r="W25" s="40">
        <v>3343354884</v>
      </c>
      <c r="X25" s="40">
        <v>33035658</v>
      </c>
      <c r="Y25" s="40">
        <v>275</v>
      </c>
      <c r="Z25" s="40">
        <v>77323659</v>
      </c>
      <c r="AA25" s="40">
        <v>750</v>
      </c>
      <c r="AB25" s="40">
        <v>127557998</v>
      </c>
      <c r="AC25" s="40">
        <v>1435</v>
      </c>
      <c r="AD25" s="64">
        <v>75218866.060000002</v>
      </c>
      <c r="AE25" s="40">
        <v>738</v>
      </c>
    </row>
    <row r="26" spans="1:31" s="26" customFormat="1">
      <c r="A26" s="40">
        <v>1005</v>
      </c>
      <c r="B26" s="40" t="s">
        <v>57</v>
      </c>
      <c r="C26" s="40" t="s">
        <v>121</v>
      </c>
      <c r="D26" s="40" t="s">
        <v>122</v>
      </c>
      <c r="E26" s="40" t="s">
        <v>411</v>
      </c>
      <c r="F26" s="40" t="s">
        <v>82</v>
      </c>
      <c r="G26" s="40" t="s">
        <v>72</v>
      </c>
      <c r="H26" s="40">
        <f t="shared" si="0"/>
        <v>25</v>
      </c>
      <c r="I26" s="40" t="s">
        <v>94</v>
      </c>
      <c r="J26" s="40" t="s">
        <v>84</v>
      </c>
      <c r="K26" s="40">
        <v>0.61388888888888893</v>
      </c>
      <c r="L26" s="40" t="s">
        <v>85</v>
      </c>
      <c r="M26" s="40"/>
      <c r="N26" s="40" t="s">
        <v>461</v>
      </c>
      <c r="O26" s="40">
        <v>1009363</v>
      </c>
      <c r="P26" s="40">
        <v>3011912</v>
      </c>
      <c r="Q26" s="40" t="s">
        <v>412</v>
      </c>
      <c r="R26" s="40" t="s">
        <v>413</v>
      </c>
      <c r="S26" s="40" t="s">
        <v>414</v>
      </c>
      <c r="T26" s="40" t="s">
        <v>415</v>
      </c>
      <c r="U26" s="40" t="s">
        <v>416</v>
      </c>
      <c r="V26" s="40">
        <v>13</v>
      </c>
      <c r="W26" s="40" t="s">
        <v>417</v>
      </c>
      <c r="X26" s="40">
        <v>0</v>
      </c>
      <c r="Y26" s="40">
        <v>0</v>
      </c>
      <c r="Z26" s="40">
        <v>0</v>
      </c>
      <c r="AA26" s="40">
        <v>0</v>
      </c>
      <c r="AB26" s="40">
        <v>10234343.25</v>
      </c>
      <c r="AC26" s="40">
        <v>120</v>
      </c>
      <c r="AD26" s="64">
        <v>69145917.299999997</v>
      </c>
      <c r="AE26" s="40">
        <v>779</v>
      </c>
    </row>
    <row r="27" spans="1:31" s="26" customFormat="1">
      <c r="A27" s="40">
        <v>314</v>
      </c>
      <c r="B27" s="40" t="s">
        <v>57</v>
      </c>
      <c r="C27" s="40" t="s">
        <v>100</v>
      </c>
      <c r="D27" s="40" t="s">
        <v>101</v>
      </c>
      <c r="E27" s="40" t="s">
        <v>166</v>
      </c>
      <c r="F27" s="40" t="s">
        <v>82</v>
      </c>
      <c r="G27" s="40" t="s">
        <v>4</v>
      </c>
      <c r="H27" s="40">
        <f t="shared" si="0"/>
        <v>50</v>
      </c>
      <c r="I27" s="40" t="s">
        <v>136</v>
      </c>
      <c r="J27" s="40" t="s">
        <v>84</v>
      </c>
      <c r="K27" s="40">
        <v>25</v>
      </c>
      <c r="L27" s="40" t="s">
        <v>85</v>
      </c>
      <c r="M27" s="40"/>
      <c r="N27" s="40" t="s">
        <v>462</v>
      </c>
      <c r="O27" s="40">
        <v>1001559</v>
      </c>
      <c r="P27" s="40" t="s">
        <v>167</v>
      </c>
      <c r="Q27" s="40" t="s">
        <v>168</v>
      </c>
      <c r="R27" s="40" t="s">
        <v>169</v>
      </c>
      <c r="S27" s="40" t="s">
        <v>170</v>
      </c>
      <c r="T27" s="40" t="s">
        <v>171</v>
      </c>
      <c r="U27" s="40">
        <v>4420232806605</v>
      </c>
      <c r="V27" s="40">
        <v>13</v>
      </c>
      <c r="W27" s="40">
        <v>3332609692</v>
      </c>
      <c r="X27" s="40">
        <v>116115410</v>
      </c>
      <c r="Y27" s="40">
        <v>2453</v>
      </c>
      <c r="Z27" s="40">
        <v>226893973</v>
      </c>
      <c r="AA27" s="40">
        <v>1764</v>
      </c>
      <c r="AB27" s="40">
        <v>182403493</v>
      </c>
      <c r="AC27" s="40">
        <v>1644</v>
      </c>
      <c r="AD27" s="64">
        <v>67524203.070000008</v>
      </c>
      <c r="AE27" s="40">
        <v>650</v>
      </c>
    </row>
    <row r="28" spans="1:31" s="26" customFormat="1">
      <c r="A28" s="40">
        <v>156</v>
      </c>
      <c r="B28" s="40" t="s">
        <v>57</v>
      </c>
      <c r="C28" s="40" t="s">
        <v>92</v>
      </c>
      <c r="D28" s="40" t="s">
        <v>93</v>
      </c>
      <c r="E28" s="40" t="s">
        <v>114</v>
      </c>
      <c r="F28" s="40" t="s">
        <v>82</v>
      </c>
      <c r="G28" s="40" t="s">
        <v>2</v>
      </c>
      <c r="H28" s="40">
        <f t="shared" si="0"/>
        <v>100</v>
      </c>
      <c r="I28" s="40" t="s">
        <v>115</v>
      </c>
      <c r="J28" s="40" t="s">
        <v>84</v>
      </c>
      <c r="K28" s="40">
        <v>8.8246575342465761</v>
      </c>
      <c r="L28" s="40" t="s">
        <v>85</v>
      </c>
      <c r="M28" s="40"/>
      <c r="N28" s="40" t="s">
        <v>462</v>
      </c>
      <c r="O28" s="40">
        <v>1000909</v>
      </c>
      <c r="P28" s="40" t="s">
        <v>116</v>
      </c>
      <c r="Q28" s="40" t="s">
        <v>117</v>
      </c>
      <c r="R28" s="40" t="s">
        <v>118</v>
      </c>
      <c r="S28" s="40" t="s">
        <v>119</v>
      </c>
      <c r="T28" s="40" t="s">
        <v>120</v>
      </c>
      <c r="U28" s="40">
        <v>4120736095947</v>
      </c>
      <c r="V28" s="40">
        <v>13</v>
      </c>
      <c r="W28" s="40">
        <v>3008377313</v>
      </c>
      <c r="X28" s="40">
        <v>234496.78</v>
      </c>
      <c r="Y28" s="40">
        <v>5</v>
      </c>
      <c r="Z28" s="40">
        <v>451919664</v>
      </c>
      <c r="AA28" s="40">
        <v>4545</v>
      </c>
      <c r="AB28" s="40">
        <v>2418641212</v>
      </c>
      <c r="AC28" s="40">
        <v>26541</v>
      </c>
      <c r="AD28" s="64">
        <v>62467950.210000008</v>
      </c>
      <c r="AE28" s="40">
        <v>723.3</v>
      </c>
    </row>
    <row r="29" spans="1:31" s="26" customFormat="1">
      <c r="A29" s="40">
        <v>485</v>
      </c>
      <c r="B29" s="40" t="s">
        <v>60</v>
      </c>
      <c r="C29" s="40" t="s">
        <v>79</v>
      </c>
      <c r="D29" s="40" t="s">
        <v>80</v>
      </c>
      <c r="E29" s="40" t="s">
        <v>64</v>
      </c>
      <c r="F29" s="40" t="s">
        <v>82</v>
      </c>
      <c r="G29" s="40" t="s">
        <v>3</v>
      </c>
      <c r="H29" s="40">
        <f t="shared" si="0"/>
        <v>75</v>
      </c>
      <c r="I29" s="40" t="s">
        <v>153</v>
      </c>
      <c r="J29" s="40" t="s">
        <v>84</v>
      </c>
      <c r="K29" s="40">
        <v>12</v>
      </c>
      <c r="L29" s="40" t="s">
        <v>85</v>
      </c>
      <c r="M29" s="40"/>
      <c r="N29" s="40" t="s">
        <v>463</v>
      </c>
      <c r="O29" s="40">
        <v>1002353</v>
      </c>
      <c r="P29" s="40">
        <v>3009390</v>
      </c>
      <c r="Q29" s="40" t="s">
        <v>235</v>
      </c>
      <c r="R29" s="40" t="s">
        <v>236</v>
      </c>
      <c r="S29" s="40" t="s">
        <v>237</v>
      </c>
      <c r="T29" s="40" t="s">
        <v>238</v>
      </c>
      <c r="U29" s="40">
        <v>3450116767121</v>
      </c>
      <c r="V29" s="40">
        <v>13</v>
      </c>
      <c r="W29" s="40" t="s">
        <v>239</v>
      </c>
      <c r="X29" s="40">
        <v>491829844.69999999</v>
      </c>
      <c r="Y29" s="40">
        <v>4881.3500000000004</v>
      </c>
      <c r="Z29" s="40">
        <v>773831720.20000005</v>
      </c>
      <c r="AA29" s="40">
        <v>9632</v>
      </c>
      <c r="AB29" s="40">
        <v>1184035380</v>
      </c>
      <c r="AC29" s="40">
        <v>11015</v>
      </c>
      <c r="AD29" s="64">
        <v>60083001.779999994</v>
      </c>
      <c r="AE29" s="40">
        <v>449.15</v>
      </c>
    </row>
    <row r="30" spans="1:31" s="26" customFormat="1">
      <c r="A30" s="40">
        <v>452</v>
      </c>
      <c r="B30" s="40" t="s">
        <v>60</v>
      </c>
      <c r="C30" s="40" t="s">
        <v>159</v>
      </c>
      <c r="D30" s="40" t="s">
        <v>160</v>
      </c>
      <c r="E30" s="40" t="s">
        <v>225</v>
      </c>
      <c r="F30" s="40" t="s">
        <v>82</v>
      </c>
      <c r="G30" s="40" t="s">
        <v>4</v>
      </c>
      <c r="H30" s="40">
        <f t="shared" si="0"/>
        <v>50</v>
      </c>
      <c r="I30" s="40" t="s">
        <v>136</v>
      </c>
      <c r="J30" s="40" t="s">
        <v>161</v>
      </c>
      <c r="K30" s="40">
        <v>12</v>
      </c>
      <c r="L30" s="40" t="s">
        <v>85</v>
      </c>
      <c r="M30" s="40"/>
      <c r="N30" s="40" t="s">
        <v>458</v>
      </c>
      <c r="O30" s="40">
        <v>1002267</v>
      </c>
      <c r="P30" s="40">
        <v>3002377</v>
      </c>
      <c r="Q30" s="40" t="s">
        <v>226</v>
      </c>
      <c r="R30" s="40" t="s">
        <v>227</v>
      </c>
      <c r="S30" s="40" t="s">
        <v>228</v>
      </c>
      <c r="T30" s="40" t="s">
        <v>229</v>
      </c>
      <c r="U30" s="40">
        <v>3320120000000</v>
      </c>
      <c r="V30" s="40">
        <v>13</v>
      </c>
      <c r="W30" s="40">
        <v>3007702661</v>
      </c>
      <c r="X30" s="40" t="s">
        <v>230</v>
      </c>
      <c r="Y30" s="40" t="s">
        <v>231</v>
      </c>
      <c r="Z30" s="40" t="s">
        <v>232</v>
      </c>
      <c r="AA30" s="40" t="s">
        <v>233</v>
      </c>
      <c r="AB30" s="40">
        <v>13904165.24</v>
      </c>
      <c r="AC30" s="40">
        <v>526</v>
      </c>
      <c r="AD30" s="64">
        <v>58485787.040000007</v>
      </c>
      <c r="AE30" s="40">
        <v>660.4</v>
      </c>
    </row>
    <row r="31" spans="1:31" s="26" customFormat="1">
      <c r="A31" s="40">
        <v>164</v>
      </c>
      <c r="B31" s="40" t="s">
        <v>57</v>
      </c>
      <c r="C31" s="40" t="s">
        <v>100</v>
      </c>
      <c r="D31" s="40" t="s">
        <v>101</v>
      </c>
      <c r="E31" s="40" t="s">
        <v>135</v>
      </c>
      <c r="F31" s="40" t="s">
        <v>82</v>
      </c>
      <c r="G31" s="40" t="s">
        <v>4</v>
      </c>
      <c r="H31" s="40">
        <f t="shared" si="0"/>
        <v>50</v>
      </c>
      <c r="I31" s="40" t="s">
        <v>136</v>
      </c>
      <c r="J31" s="40" t="s">
        <v>84</v>
      </c>
      <c r="K31" s="40">
        <v>6</v>
      </c>
      <c r="L31" s="40" t="s">
        <v>85</v>
      </c>
      <c r="M31" s="40"/>
      <c r="N31" s="40" t="s">
        <v>462</v>
      </c>
      <c r="O31" s="40">
        <v>1000947</v>
      </c>
      <c r="P31" s="40" t="s">
        <v>141</v>
      </c>
      <c r="Q31" s="40" t="s">
        <v>142</v>
      </c>
      <c r="R31" s="40" t="s">
        <v>143</v>
      </c>
      <c r="S31" s="40" t="s">
        <v>144</v>
      </c>
      <c r="T31" s="40" t="s">
        <v>145</v>
      </c>
      <c r="U31" s="40">
        <v>4420306029475</v>
      </c>
      <c r="V31" s="40">
        <v>13</v>
      </c>
      <c r="W31" s="40">
        <v>3322885681</v>
      </c>
      <c r="X31" s="40">
        <v>11930401</v>
      </c>
      <c r="Y31" s="40">
        <v>266</v>
      </c>
      <c r="Z31" s="40">
        <v>77453876</v>
      </c>
      <c r="AA31" s="40">
        <v>718</v>
      </c>
      <c r="AB31" s="40">
        <v>189161627</v>
      </c>
      <c r="AC31" s="40">
        <v>2180</v>
      </c>
      <c r="AD31" s="64">
        <v>51631558.779999971</v>
      </c>
      <c r="AE31" s="40">
        <v>577.5</v>
      </c>
    </row>
    <row r="32" spans="1:31" s="26" customFormat="1">
      <c r="A32" s="40">
        <v>163</v>
      </c>
      <c r="B32" s="40" t="s">
        <v>57</v>
      </c>
      <c r="C32" s="40" t="s">
        <v>100</v>
      </c>
      <c r="D32" s="40" t="s">
        <v>101</v>
      </c>
      <c r="E32" s="40" t="s">
        <v>134</v>
      </c>
      <c r="F32" s="40" t="s">
        <v>82</v>
      </c>
      <c r="G32" s="40" t="s">
        <v>72</v>
      </c>
      <c r="H32" s="40">
        <f t="shared" si="0"/>
        <v>25</v>
      </c>
      <c r="I32" s="40" t="s">
        <v>94</v>
      </c>
      <c r="J32" s="40" t="s">
        <v>84</v>
      </c>
      <c r="K32" s="40">
        <v>6</v>
      </c>
      <c r="L32" s="40" t="s">
        <v>85</v>
      </c>
      <c r="M32" s="40"/>
      <c r="N32" s="40" t="s">
        <v>462</v>
      </c>
      <c r="O32" s="40">
        <v>1000946</v>
      </c>
      <c r="P32" s="40">
        <v>3000944</v>
      </c>
      <c r="Q32" s="40" t="s">
        <v>137</v>
      </c>
      <c r="R32" s="40" t="s">
        <v>138</v>
      </c>
      <c r="S32" s="40" t="s">
        <v>139</v>
      </c>
      <c r="T32" s="40" t="s">
        <v>140</v>
      </c>
      <c r="U32" s="40">
        <v>4130381889223</v>
      </c>
      <c r="V32" s="40">
        <v>13</v>
      </c>
      <c r="W32" s="40">
        <v>3334117252</v>
      </c>
      <c r="X32" s="40">
        <v>45117588</v>
      </c>
      <c r="Y32" s="40">
        <v>596</v>
      </c>
      <c r="Z32" s="40">
        <v>46696845</v>
      </c>
      <c r="AA32" s="40">
        <v>401</v>
      </c>
      <c r="AB32" s="40">
        <v>180726166</v>
      </c>
      <c r="AC32" s="40">
        <v>1981</v>
      </c>
      <c r="AD32" s="64">
        <v>50310042.920000009</v>
      </c>
      <c r="AE32" s="40">
        <v>526.74999999999989</v>
      </c>
    </row>
    <row r="33" spans="1:31" s="26" customFormat="1">
      <c r="A33" s="40">
        <v>136</v>
      </c>
      <c r="B33" s="40" t="s">
        <v>181</v>
      </c>
      <c r="C33" s="40" t="s">
        <v>399</v>
      </c>
      <c r="D33" s="40" t="s">
        <v>400</v>
      </c>
      <c r="E33" s="40" t="s">
        <v>401</v>
      </c>
      <c r="F33" s="40" t="s">
        <v>82</v>
      </c>
      <c r="G33" s="40" t="s">
        <v>72</v>
      </c>
      <c r="H33" s="40">
        <f t="shared" si="0"/>
        <v>25</v>
      </c>
      <c r="I33" s="40" t="s">
        <v>94</v>
      </c>
      <c r="J33" s="40" t="s">
        <v>402</v>
      </c>
      <c r="K33" s="40">
        <v>2</v>
      </c>
      <c r="L33" s="40" t="s">
        <v>85</v>
      </c>
      <c r="M33" s="40"/>
      <c r="N33" s="40" t="s">
        <v>457</v>
      </c>
      <c r="O33" s="40">
        <v>1008964</v>
      </c>
      <c r="P33" s="40"/>
      <c r="Q33" s="40" t="s">
        <v>403</v>
      </c>
      <c r="R33" s="40" t="s">
        <v>404</v>
      </c>
      <c r="S33" s="40" t="s">
        <v>405</v>
      </c>
      <c r="T33" s="40" t="s">
        <v>406</v>
      </c>
      <c r="U33" s="40" t="s">
        <v>407</v>
      </c>
      <c r="V33" s="40">
        <v>13</v>
      </c>
      <c r="W33" s="40">
        <v>3006789621</v>
      </c>
      <c r="X33" s="40">
        <v>0</v>
      </c>
      <c r="Y33" s="40">
        <v>0</v>
      </c>
      <c r="Z33" s="40">
        <v>0</v>
      </c>
      <c r="AA33" s="40">
        <v>0</v>
      </c>
      <c r="AB33" s="40">
        <v>308431310.06999981</v>
      </c>
      <c r="AC33" s="40">
        <v>3610.4500000000003</v>
      </c>
      <c r="AD33" s="64">
        <v>49697150.379999995</v>
      </c>
      <c r="AE33" s="40">
        <v>466.25</v>
      </c>
    </row>
    <row r="34" spans="1:31" s="26" customFormat="1">
      <c r="A34" s="40">
        <v>519</v>
      </c>
      <c r="B34" s="40" t="s">
        <v>57</v>
      </c>
      <c r="C34" s="40" t="s">
        <v>100</v>
      </c>
      <c r="D34" s="40" t="s">
        <v>101</v>
      </c>
      <c r="E34" s="40" t="s">
        <v>253</v>
      </c>
      <c r="F34" s="40" t="s">
        <v>82</v>
      </c>
      <c r="G34" s="40" t="s">
        <v>72</v>
      </c>
      <c r="H34" s="40">
        <f t="shared" si="0"/>
        <v>25</v>
      </c>
      <c r="I34" s="40" t="s">
        <v>94</v>
      </c>
      <c r="J34" s="40" t="s">
        <v>84</v>
      </c>
      <c r="K34" s="40">
        <v>24</v>
      </c>
      <c r="L34" s="40" t="s">
        <v>85</v>
      </c>
      <c r="M34" s="40"/>
      <c r="N34" s="40" t="s">
        <v>462</v>
      </c>
      <c r="O34" s="40">
        <v>1002427</v>
      </c>
      <c r="P34" s="40" t="s">
        <v>254</v>
      </c>
      <c r="Q34" s="40" t="s">
        <v>255</v>
      </c>
      <c r="R34" s="40" t="s">
        <v>256</v>
      </c>
      <c r="S34" s="40" t="s">
        <v>257</v>
      </c>
      <c r="T34" s="40" t="s">
        <v>258</v>
      </c>
      <c r="U34" s="40">
        <v>4120539641817</v>
      </c>
      <c r="V34" s="40">
        <v>13</v>
      </c>
      <c r="W34" s="40" t="s">
        <v>259</v>
      </c>
      <c r="X34" s="40">
        <v>143404345</v>
      </c>
      <c r="Y34" s="40">
        <v>2329</v>
      </c>
      <c r="Z34" s="40">
        <v>310053984</v>
      </c>
      <c r="AA34" s="40">
        <v>2539</v>
      </c>
      <c r="AB34" s="40">
        <v>63160583</v>
      </c>
      <c r="AC34" s="40">
        <v>713</v>
      </c>
      <c r="AD34" s="64">
        <v>47239004.739999995</v>
      </c>
      <c r="AE34" s="40">
        <v>488.5</v>
      </c>
    </row>
    <row r="35" spans="1:31" s="26" customFormat="1">
      <c r="A35" s="40">
        <v>702</v>
      </c>
      <c r="B35" s="40" t="s">
        <v>57</v>
      </c>
      <c r="C35" s="40" t="s">
        <v>100</v>
      </c>
      <c r="D35" s="40" t="s">
        <v>101</v>
      </c>
      <c r="E35" s="40" t="s">
        <v>100</v>
      </c>
      <c r="F35" s="40" t="s">
        <v>82</v>
      </c>
      <c r="G35" s="40" t="s">
        <v>72</v>
      </c>
      <c r="H35" s="40">
        <f t="shared" si="0"/>
        <v>25</v>
      </c>
      <c r="I35" s="40" t="s">
        <v>94</v>
      </c>
      <c r="J35" s="40" t="s">
        <v>84</v>
      </c>
      <c r="K35" s="40">
        <v>14</v>
      </c>
      <c r="L35" s="40" t="s">
        <v>85</v>
      </c>
      <c r="M35" s="40"/>
      <c r="N35" s="40" t="s">
        <v>462</v>
      </c>
      <c r="O35" s="40">
        <v>1002784</v>
      </c>
      <c r="P35" s="40" t="s">
        <v>315</v>
      </c>
      <c r="Q35" s="40" t="s">
        <v>316</v>
      </c>
      <c r="R35" s="40" t="s">
        <v>317</v>
      </c>
      <c r="S35" s="40" t="s">
        <v>318</v>
      </c>
      <c r="T35" s="40" t="s">
        <v>319</v>
      </c>
      <c r="U35" s="40">
        <v>4540208390115</v>
      </c>
      <c r="V35" s="40">
        <v>13</v>
      </c>
      <c r="W35" s="40">
        <v>3003210726</v>
      </c>
      <c r="X35" s="40">
        <v>80181627</v>
      </c>
      <c r="Y35" s="40">
        <v>1496</v>
      </c>
      <c r="Z35" s="40">
        <v>119599667</v>
      </c>
      <c r="AA35" s="40">
        <v>1168</v>
      </c>
      <c r="AB35" s="40">
        <v>114937673</v>
      </c>
      <c r="AC35" s="40">
        <v>1245</v>
      </c>
      <c r="AD35" s="64">
        <v>43256165.309999995</v>
      </c>
      <c r="AE35" s="40">
        <v>413.40000000000003</v>
      </c>
    </row>
    <row r="36" spans="1:31" s="26" customFormat="1">
      <c r="A36" s="40">
        <v>147</v>
      </c>
      <c r="B36" s="40" t="s">
        <v>57</v>
      </c>
      <c r="C36" s="40" t="s">
        <v>100</v>
      </c>
      <c r="D36" s="40" t="s">
        <v>101</v>
      </c>
      <c r="E36" s="40" t="s">
        <v>102</v>
      </c>
      <c r="F36" s="40" t="s">
        <v>82</v>
      </c>
      <c r="G36" s="40" t="s">
        <v>72</v>
      </c>
      <c r="H36" s="40">
        <f t="shared" si="0"/>
        <v>25</v>
      </c>
      <c r="I36" s="40" t="s">
        <v>94</v>
      </c>
      <c r="J36" s="40" t="s">
        <v>84</v>
      </c>
      <c r="K36" s="40">
        <v>9</v>
      </c>
      <c r="L36" s="40" t="s">
        <v>85</v>
      </c>
      <c r="M36" s="40"/>
      <c r="N36" s="40" t="s">
        <v>462</v>
      </c>
      <c r="O36" s="40">
        <v>1000826</v>
      </c>
      <c r="P36" s="40" t="s">
        <v>103</v>
      </c>
      <c r="Q36" s="40" t="s">
        <v>104</v>
      </c>
      <c r="R36" s="40" t="s">
        <v>105</v>
      </c>
      <c r="S36" s="40" t="s">
        <v>106</v>
      </c>
      <c r="T36" s="40" t="s">
        <v>107</v>
      </c>
      <c r="U36" s="40">
        <v>4130505364757</v>
      </c>
      <c r="V36" s="40">
        <v>13</v>
      </c>
      <c r="W36" s="40">
        <v>3003359084</v>
      </c>
      <c r="X36" s="40">
        <v>40902147</v>
      </c>
      <c r="Y36" s="40">
        <v>883</v>
      </c>
      <c r="Z36" s="40">
        <v>72010345</v>
      </c>
      <c r="AA36" s="40">
        <v>700</v>
      </c>
      <c r="AB36" s="40">
        <v>66469300</v>
      </c>
      <c r="AC36" s="40">
        <v>625</v>
      </c>
      <c r="AD36" s="64">
        <v>42573220.420000024</v>
      </c>
      <c r="AE36" s="40">
        <v>383.04999999999995</v>
      </c>
    </row>
    <row r="37" spans="1:31" s="26" customFormat="1">
      <c r="A37" s="40">
        <v>86</v>
      </c>
      <c r="B37" s="40" t="s">
        <v>181</v>
      </c>
      <c r="C37" s="40" t="s">
        <v>11</v>
      </c>
      <c r="D37" s="40" t="s">
        <v>183</v>
      </c>
      <c r="E37" s="40" t="s">
        <v>12</v>
      </c>
      <c r="F37" s="40" t="s">
        <v>82</v>
      </c>
      <c r="G37" s="40" t="s">
        <v>3</v>
      </c>
      <c r="H37" s="40">
        <f t="shared" si="0"/>
        <v>100</v>
      </c>
      <c r="I37" s="40" t="s">
        <v>115</v>
      </c>
      <c r="J37" s="40" t="s">
        <v>342</v>
      </c>
      <c r="K37" s="40">
        <v>5</v>
      </c>
      <c r="L37" s="40" t="s">
        <v>85</v>
      </c>
      <c r="M37" s="40"/>
      <c r="N37" s="40" t="s">
        <v>457</v>
      </c>
      <c r="O37" s="40">
        <v>1007118</v>
      </c>
      <c r="P37" s="40"/>
      <c r="Q37" s="60" t="s">
        <v>343</v>
      </c>
      <c r="R37" s="40" t="s">
        <v>344</v>
      </c>
      <c r="S37" s="40" t="s">
        <v>345</v>
      </c>
      <c r="T37" s="40" t="s">
        <v>346</v>
      </c>
      <c r="U37" s="40" t="s">
        <v>59</v>
      </c>
      <c r="V37" s="40">
        <v>1</v>
      </c>
      <c r="W37" s="40">
        <v>3247778198</v>
      </c>
      <c r="X37" s="40">
        <v>47110443.000000022</v>
      </c>
      <c r="Y37" s="40">
        <v>642</v>
      </c>
      <c r="Z37" s="40">
        <v>266061810.31000012</v>
      </c>
      <c r="AA37" s="40">
        <v>2758.8750000000005</v>
      </c>
      <c r="AB37" s="40">
        <v>172387896.31000003</v>
      </c>
      <c r="AC37" s="40">
        <v>1583.5</v>
      </c>
      <c r="AD37" s="64">
        <v>34439554.739999995</v>
      </c>
      <c r="AE37" s="40">
        <v>138</v>
      </c>
    </row>
    <row r="38" spans="1:31">
      <c r="A38" s="40">
        <v>842</v>
      </c>
      <c r="B38" s="40" t="s">
        <v>57</v>
      </c>
      <c r="C38" s="40" t="s">
        <v>100</v>
      </c>
      <c r="D38" s="40" t="s">
        <v>101</v>
      </c>
      <c r="E38" s="40" t="s">
        <v>337</v>
      </c>
      <c r="F38" s="40" t="s">
        <v>82</v>
      </c>
      <c r="G38" s="40" t="s">
        <v>3</v>
      </c>
      <c r="H38" s="40">
        <f t="shared" si="0"/>
        <v>75</v>
      </c>
      <c r="I38" s="40" t="s">
        <v>153</v>
      </c>
      <c r="J38" s="40" t="s">
        <v>84</v>
      </c>
      <c r="K38" s="40">
        <v>3</v>
      </c>
      <c r="L38" s="40" t="s">
        <v>85</v>
      </c>
      <c r="M38" s="40"/>
      <c r="N38" s="40" t="s">
        <v>462</v>
      </c>
      <c r="O38" s="40">
        <v>1007048</v>
      </c>
      <c r="P38" s="40">
        <v>3009392</v>
      </c>
      <c r="Q38" s="40" t="s">
        <v>338</v>
      </c>
      <c r="R38" s="40" t="s">
        <v>339</v>
      </c>
      <c r="S38" s="40" t="s">
        <v>340</v>
      </c>
      <c r="T38" s="40" t="s">
        <v>341</v>
      </c>
      <c r="U38" s="40">
        <v>4530503414369</v>
      </c>
      <c r="V38" s="40">
        <v>13</v>
      </c>
      <c r="W38" s="40">
        <v>3018315962</v>
      </c>
      <c r="X38" s="40">
        <v>1421171625</v>
      </c>
      <c r="Y38" s="40">
        <v>16734</v>
      </c>
      <c r="Z38" s="40">
        <v>2936367289</v>
      </c>
      <c r="AA38" s="40">
        <v>25229</v>
      </c>
      <c r="AB38" s="40">
        <v>787299513</v>
      </c>
      <c r="AC38" s="40">
        <v>6318</v>
      </c>
      <c r="AD38" s="64">
        <v>32440486.360000003</v>
      </c>
      <c r="AE38" s="40">
        <v>216.3</v>
      </c>
    </row>
    <row r="39" spans="1:31">
      <c r="A39" s="40">
        <v>597</v>
      </c>
      <c r="B39" s="40" t="s">
        <v>57</v>
      </c>
      <c r="C39" s="40" t="s">
        <v>100</v>
      </c>
      <c r="D39" s="40" t="s">
        <v>101</v>
      </c>
      <c r="E39" s="40" t="s">
        <v>166</v>
      </c>
      <c r="F39" s="40" t="s">
        <v>82</v>
      </c>
      <c r="G39" s="40" t="s">
        <v>4</v>
      </c>
      <c r="H39" s="40">
        <f t="shared" si="0"/>
        <v>50</v>
      </c>
      <c r="I39" s="40" t="s">
        <v>136</v>
      </c>
      <c r="J39" s="40" t="s">
        <v>84</v>
      </c>
      <c r="K39" s="40">
        <v>25</v>
      </c>
      <c r="L39" s="40" t="s">
        <v>85</v>
      </c>
      <c r="M39" s="40"/>
      <c r="N39" s="40" t="s">
        <v>462</v>
      </c>
      <c r="O39" s="40">
        <v>1002573</v>
      </c>
      <c r="P39" s="40" t="s">
        <v>275</v>
      </c>
      <c r="Q39" s="40" t="s">
        <v>276</v>
      </c>
      <c r="R39" s="40" t="s">
        <v>277</v>
      </c>
      <c r="S39" s="40" t="s">
        <v>278</v>
      </c>
      <c r="T39" s="40" t="s">
        <v>279</v>
      </c>
      <c r="U39" s="40">
        <v>4420303295669</v>
      </c>
      <c r="V39" s="40">
        <v>13</v>
      </c>
      <c r="W39" s="40">
        <v>3332913222</v>
      </c>
      <c r="X39" s="40">
        <v>42174315</v>
      </c>
      <c r="Y39" s="40">
        <v>949</v>
      </c>
      <c r="Z39" s="40">
        <v>85981797</v>
      </c>
      <c r="AA39" s="40">
        <v>627</v>
      </c>
      <c r="AB39" s="40">
        <v>104526052</v>
      </c>
      <c r="AC39" s="40">
        <v>1198</v>
      </c>
      <c r="AD39" s="64">
        <v>31778053.990000002</v>
      </c>
      <c r="AE39" s="40">
        <v>291.14999999999998</v>
      </c>
    </row>
    <row r="40" spans="1:31">
      <c r="A40" s="40">
        <v>229</v>
      </c>
      <c r="B40" s="40" t="s">
        <v>181</v>
      </c>
      <c r="C40" s="40" t="s">
        <v>13</v>
      </c>
      <c r="D40" s="40" t="s">
        <v>320</v>
      </c>
      <c r="E40" s="40" t="s">
        <v>58</v>
      </c>
      <c r="F40" s="40" t="s">
        <v>82</v>
      </c>
      <c r="G40" s="40" t="s">
        <v>72</v>
      </c>
      <c r="H40" s="40">
        <f t="shared" si="0"/>
        <v>25</v>
      </c>
      <c r="I40" s="40" t="s">
        <v>94</v>
      </c>
      <c r="J40" s="40" t="s">
        <v>185</v>
      </c>
      <c r="K40" s="40">
        <v>8</v>
      </c>
      <c r="L40" s="40" t="s">
        <v>85</v>
      </c>
      <c r="M40" s="40"/>
      <c r="N40" s="40" t="s">
        <v>462</v>
      </c>
      <c r="O40" s="40">
        <v>1002838</v>
      </c>
      <c r="P40" s="40"/>
      <c r="Q40" s="40" t="s">
        <v>321</v>
      </c>
      <c r="R40" s="40" t="s">
        <v>322</v>
      </c>
      <c r="S40" s="40" t="s">
        <v>323</v>
      </c>
      <c r="T40" s="40" t="s">
        <v>324</v>
      </c>
      <c r="U40" s="40" t="s">
        <v>325</v>
      </c>
      <c r="V40" s="40">
        <v>13</v>
      </c>
      <c r="W40" s="40">
        <v>3008679598</v>
      </c>
      <c r="X40" s="40">
        <v>26050265.100000005</v>
      </c>
      <c r="Y40" s="40">
        <v>265</v>
      </c>
      <c r="Z40" s="40">
        <v>2196479.6399999997</v>
      </c>
      <c r="AA40" s="40">
        <v>28.3</v>
      </c>
      <c r="AB40" s="40">
        <v>5454052.0899999999</v>
      </c>
      <c r="AC40" s="40">
        <v>63.95</v>
      </c>
      <c r="AD40" s="64">
        <v>31199346.509999994</v>
      </c>
      <c r="AE40" s="40">
        <v>326.2</v>
      </c>
    </row>
    <row r="41" spans="1:31">
      <c r="A41" s="40">
        <v>604</v>
      </c>
      <c r="B41" s="40" t="s">
        <v>60</v>
      </c>
      <c r="C41" s="40" t="s">
        <v>215</v>
      </c>
      <c r="D41" s="40" t="s">
        <v>216</v>
      </c>
      <c r="E41" s="40" t="s">
        <v>215</v>
      </c>
      <c r="F41" s="40" t="s">
        <v>82</v>
      </c>
      <c r="G41" s="40" t="s">
        <v>72</v>
      </c>
      <c r="H41" s="40">
        <f t="shared" si="0"/>
        <v>25</v>
      </c>
      <c r="I41" s="40" t="s">
        <v>94</v>
      </c>
      <c r="J41" s="40" t="s">
        <v>84</v>
      </c>
      <c r="K41" s="40">
        <v>12</v>
      </c>
      <c r="L41" s="40" t="s">
        <v>85</v>
      </c>
      <c r="M41" s="40"/>
      <c r="N41" s="40" t="s">
        <v>459</v>
      </c>
      <c r="O41" s="40">
        <v>1002598</v>
      </c>
      <c r="P41" s="40">
        <v>3003091</v>
      </c>
      <c r="Q41" s="40" t="s">
        <v>280</v>
      </c>
      <c r="R41" s="40" t="s">
        <v>281</v>
      </c>
      <c r="S41" s="40" t="s">
        <v>282</v>
      </c>
      <c r="T41" s="40" t="s">
        <v>283</v>
      </c>
      <c r="U41" s="40" t="s">
        <v>284</v>
      </c>
      <c r="V41" s="40">
        <v>15</v>
      </c>
      <c r="W41" s="40" t="s">
        <v>285</v>
      </c>
      <c r="X41" s="40">
        <v>32715975</v>
      </c>
      <c r="Y41" s="40">
        <v>460</v>
      </c>
      <c r="Z41" s="40">
        <v>84641288</v>
      </c>
      <c r="AA41" s="40">
        <v>793</v>
      </c>
      <c r="AB41" s="40">
        <v>73633523</v>
      </c>
      <c r="AC41" s="40">
        <v>745</v>
      </c>
      <c r="AD41" s="64">
        <v>29079082</v>
      </c>
      <c r="AE41" s="40">
        <v>195</v>
      </c>
    </row>
    <row r="42" spans="1:31">
      <c r="A42" s="40">
        <v>505</v>
      </c>
      <c r="B42" s="40" t="s">
        <v>60</v>
      </c>
      <c r="C42" s="40" t="s">
        <v>243</v>
      </c>
      <c r="D42" s="40" t="s">
        <v>244</v>
      </c>
      <c r="E42" s="40" t="s">
        <v>243</v>
      </c>
      <c r="F42" s="40" t="s">
        <v>82</v>
      </c>
      <c r="G42" s="40" t="s">
        <v>3</v>
      </c>
      <c r="H42" s="40">
        <f t="shared" si="0"/>
        <v>75</v>
      </c>
      <c r="I42" s="40" t="s">
        <v>153</v>
      </c>
      <c r="J42" s="40" t="s">
        <v>245</v>
      </c>
      <c r="K42" s="40">
        <v>24</v>
      </c>
      <c r="L42" s="40" t="s">
        <v>85</v>
      </c>
      <c r="M42" s="40"/>
      <c r="N42" s="40" t="s">
        <v>460</v>
      </c>
      <c r="O42" s="40">
        <v>1002406</v>
      </c>
      <c r="P42" s="40">
        <v>3002662</v>
      </c>
      <c r="Q42" s="40" t="s">
        <v>246</v>
      </c>
      <c r="R42" s="40" t="s">
        <v>247</v>
      </c>
      <c r="S42" s="40" t="s">
        <v>248</v>
      </c>
      <c r="T42" s="40" t="s">
        <v>249</v>
      </c>
      <c r="U42" s="40">
        <v>3650213680767</v>
      </c>
      <c r="V42" s="40">
        <v>13</v>
      </c>
      <c r="W42" s="40">
        <v>3009693764</v>
      </c>
      <c r="X42" s="40" t="s">
        <v>250</v>
      </c>
      <c r="Y42" s="40">
        <v>4473</v>
      </c>
      <c r="Z42" s="40" t="s">
        <v>251</v>
      </c>
      <c r="AA42" s="40">
        <v>739</v>
      </c>
      <c r="AB42" s="40" t="s">
        <v>252</v>
      </c>
      <c r="AC42" s="40">
        <v>120</v>
      </c>
      <c r="AD42" s="64">
        <v>28533500.559999999</v>
      </c>
      <c r="AE42" s="40">
        <v>290</v>
      </c>
    </row>
    <row r="43" spans="1:31">
      <c r="A43" s="40">
        <v>335</v>
      </c>
      <c r="B43" s="40" t="s">
        <v>57</v>
      </c>
      <c r="C43" s="40" t="s">
        <v>100</v>
      </c>
      <c r="D43" s="40" t="s">
        <v>101</v>
      </c>
      <c r="E43" s="40" t="s">
        <v>102</v>
      </c>
      <c r="F43" s="40" t="s">
        <v>82</v>
      </c>
      <c r="G43" s="40" t="s">
        <v>72</v>
      </c>
      <c r="H43" s="40">
        <f t="shared" si="0"/>
        <v>25</v>
      </c>
      <c r="I43" s="40" t="s">
        <v>94</v>
      </c>
      <c r="J43" s="40" t="s">
        <v>84</v>
      </c>
      <c r="K43" s="40">
        <v>22</v>
      </c>
      <c r="L43" s="40" t="s">
        <v>85</v>
      </c>
      <c r="M43" s="40"/>
      <c r="N43" s="40" t="s">
        <v>462</v>
      </c>
      <c r="O43" s="40">
        <v>1001630</v>
      </c>
      <c r="P43" s="40" t="s">
        <v>176</v>
      </c>
      <c r="Q43" s="40" t="s">
        <v>177</v>
      </c>
      <c r="R43" s="40" t="s">
        <v>178</v>
      </c>
      <c r="S43" s="40" t="s">
        <v>179</v>
      </c>
      <c r="T43" s="40" t="s">
        <v>180</v>
      </c>
      <c r="U43" s="40">
        <v>4420648353993</v>
      </c>
      <c r="V43" s="40">
        <v>13</v>
      </c>
      <c r="W43" s="40">
        <v>3332880246</v>
      </c>
      <c r="X43" s="40">
        <v>52695711</v>
      </c>
      <c r="Y43" s="40">
        <v>1184</v>
      </c>
      <c r="Z43" s="40">
        <v>33334070</v>
      </c>
      <c r="AA43" s="40">
        <v>338</v>
      </c>
      <c r="AB43" s="40">
        <v>72122114</v>
      </c>
      <c r="AC43" s="40">
        <v>653</v>
      </c>
      <c r="AD43" s="64">
        <v>25438340.639999989</v>
      </c>
      <c r="AE43" s="40">
        <v>241.95</v>
      </c>
    </row>
    <row r="44" spans="1:31">
      <c r="A44" s="40">
        <v>1007</v>
      </c>
      <c r="B44" s="40" t="s">
        <v>57</v>
      </c>
      <c r="C44" s="40" t="s">
        <v>100</v>
      </c>
      <c r="D44" s="40" t="s">
        <v>101</v>
      </c>
      <c r="E44" s="40" t="s">
        <v>108</v>
      </c>
      <c r="F44" s="40" t="s">
        <v>82</v>
      </c>
      <c r="G44" s="40" t="s">
        <v>72</v>
      </c>
      <c r="H44" s="40">
        <f t="shared" si="0"/>
        <v>25</v>
      </c>
      <c r="I44" s="40" t="s">
        <v>94</v>
      </c>
      <c r="J44" s="40" t="s">
        <v>84</v>
      </c>
      <c r="K44" s="40">
        <v>2</v>
      </c>
      <c r="L44" s="40" t="s">
        <v>85</v>
      </c>
      <c r="M44" s="40"/>
      <c r="N44" s="40" t="s">
        <v>462</v>
      </c>
      <c r="O44" s="40">
        <v>1000932</v>
      </c>
      <c r="P44" s="40">
        <v>3000930</v>
      </c>
      <c r="Q44" s="40" t="s">
        <v>129</v>
      </c>
      <c r="R44" s="40" t="s">
        <v>130</v>
      </c>
      <c r="S44" s="40" t="s">
        <v>131</v>
      </c>
      <c r="T44" s="40" t="s">
        <v>132</v>
      </c>
      <c r="U44" s="40" t="s">
        <v>133</v>
      </c>
      <c r="V44" s="40">
        <v>13</v>
      </c>
      <c r="W44" s="40">
        <v>3322893552</v>
      </c>
      <c r="X44" s="40">
        <v>31142490</v>
      </c>
      <c r="Y44" s="40">
        <v>410</v>
      </c>
      <c r="Z44" s="40">
        <v>19970147.5</v>
      </c>
      <c r="AA44" s="40">
        <v>207</v>
      </c>
      <c r="AB44" s="40">
        <v>1300345.4099999999</v>
      </c>
      <c r="AC44" s="40">
        <v>15</v>
      </c>
      <c r="AD44" s="64">
        <v>24282843.600000001</v>
      </c>
      <c r="AE44" s="40">
        <v>264</v>
      </c>
    </row>
    <row r="45" spans="1:31">
      <c r="A45" s="40">
        <v>166</v>
      </c>
      <c r="B45" s="40" t="s">
        <v>57</v>
      </c>
      <c r="C45" s="40" t="s">
        <v>92</v>
      </c>
      <c r="D45" s="40" t="s">
        <v>93</v>
      </c>
      <c r="E45" s="40" t="s">
        <v>146</v>
      </c>
      <c r="F45" s="40" t="s">
        <v>82</v>
      </c>
      <c r="G45" s="40" t="s">
        <v>2</v>
      </c>
      <c r="H45" s="40">
        <f t="shared" si="0"/>
        <v>100</v>
      </c>
      <c r="I45" s="40" t="s">
        <v>115</v>
      </c>
      <c r="J45" s="40" t="s">
        <v>84</v>
      </c>
      <c r="K45" s="40">
        <v>7.7671232876712333</v>
      </c>
      <c r="L45" s="40" t="s">
        <v>85</v>
      </c>
      <c r="M45" s="40"/>
      <c r="N45" s="40" t="s">
        <v>462</v>
      </c>
      <c r="O45" s="40">
        <v>1000956</v>
      </c>
      <c r="P45" s="40" t="s">
        <v>147</v>
      </c>
      <c r="Q45" s="40" t="s">
        <v>148</v>
      </c>
      <c r="R45" s="40" t="s">
        <v>149</v>
      </c>
      <c r="S45" s="40" t="s">
        <v>150</v>
      </c>
      <c r="T45" s="40" t="s">
        <v>151</v>
      </c>
      <c r="U45" s="40">
        <v>4410306326255</v>
      </c>
      <c r="V45" s="40">
        <v>13</v>
      </c>
      <c r="W45" s="40">
        <v>3003314390</v>
      </c>
      <c r="X45" s="40">
        <v>137836329</v>
      </c>
      <c r="Y45" s="40">
        <v>2916</v>
      </c>
      <c r="Z45" s="40">
        <v>214903582</v>
      </c>
      <c r="AA45" s="40">
        <v>1913</v>
      </c>
      <c r="AB45" s="40">
        <v>97572778</v>
      </c>
      <c r="AC45" s="40">
        <v>665</v>
      </c>
      <c r="AD45" s="64">
        <v>24274907.559999999</v>
      </c>
      <c r="AE45" s="40">
        <v>265.5</v>
      </c>
    </row>
    <row r="46" spans="1:31">
      <c r="A46" s="40">
        <v>315</v>
      </c>
      <c r="B46" s="40" t="s">
        <v>57</v>
      </c>
      <c r="C46" s="40" t="s">
        <v>100</v>
      </c>
      <c r="D46" s="40" t="s">
        <v>101</v>
      </c>
      <c r="E46" s="40" t="s">
        <v>166</v>
      </c>
      <c r="F46" s="40" t="s">
        <v>82</v>
      </c>
      <c r="G46" s="40" t="s">
        <v>72</v>
      </c>
      <c r="H46" s="40">
        <f t="shared" si="0"/>
        <v>25</v>
      </c>
      <c r="I46" s="40" t="s">
        <v>94</v>
      </c>
      <c r="J46" s="40" t="s">
        <v>84</v>
      </c>
      <c r="K46" s="40">
        <v>8</v>
      </c>
      <c r="L46" s="40" t="s">
        <v>85</v>
      </c>
      <c r="M46" s="40"/>
      <c r="N46" s="40" t="s">
        <v>462</v>
      </c>
      <c r="O46" s="40">
        <v>1001563</v>
      </c>
      <c r="P46" s="40">
        <v>3001559</v>
      </c>
      <c r="Q46" s="40" t="s">
        <v>172</v>
      </c>
      <c r="R46" s="40" t="s">
        <v>173</v>
      </c>
      <c r="S46" s="40" t="s">
        <v>174</v>
      </c>
      <c r="T46" s="40" t="s">
        <v>175</v>
      </c>
      <c r="U46" s="40">
        <v>4420362404327</v>
      </c>
      <c r="V46" s="40">
        <v>13</v>
      </c>
      <c r="W46" s="40">
        <v>3312463641</v>
      </c>
      <c r="X46" s="40">
        <v>1748023.1</v>
      </c>
      <c r="Y46" s="40">
        <v>30</v>
      </c>
      <c r="Z46" s="40">
        <v>32868765.789999999</v>
      </c>
      <c r="AA46" s="40">
        <v>241</v>
      </c>
      <c r="AB46" s="40">
        <v>10517195.649999999</v>
      </c>
      <c r="AC46" s="40">
        <v>122</v>
      </c>
      <c r="AD46" s="64">
        <v>23998028.259999998</v>
      </c>
      <c r="AE46" s="40">
        <v>280</v>
      </c>
    </row>
    <row r="47" spans="1:31">
      <c r="A47" s="40">
        <v>3</v>
      </c>
      <c r="B47" s="40" t="s">
        <v>181</v>
      </c>
      <c r="C47" s="40" t="s">
        <v>182</v>
      </c>
      <c r="D47" s="40" t="s">
        <v>183</v>
      </c>
      <c r="E47" s="40" t="s">
        <v>184</v>
      </c>
      <c r="F47" s="40" t="s">
        <v>82</v>
      </c>
      <c r="G47" s="40" t="s">
        <v>72</v>
      </c>
      <c r="H47" s="40">
        <f t="shared" si="0"/>
        <v>25</v>
      </c>
      <c r="I47" s="40" t="s">
        <v>94</v>
      </c>
      <c r="J47" s="40" t="s">
        <v>185</v>
      </c>
      <c r="K47" s="40">
        <v>27</v>
      </c>
      <c r="L47" s="40" t="s">
        <v>85</v>
      </c>
      <c r="M47" s="40"/>
      <c r="N47" s="40" t="s">
        <v>457</v>
      </c>
      <c r="O47" s="40">
        <v>1001678</v>
      </c>
      <c r="P47" s="40"/>
      <c r="Q47" s="40" t="s">
        <v>186</v>
      </c>
      <c r="R47" s="40" t="s">
        <v>187</v>
      </c>
      <c r="S47" s="40" t="s">
        <v>188</v>
      </c>
      <c r="T47" s="40" t="s">
        <v>189</v>
      </c>
      <c r="U47" s="40" t="s">
        <v>190</v>
      </c>
      <c r="V47" s="40">
        <v>13</v>
      </c>
      <c r="W47" s="40">
        <v>3453535135</v>
      </c>
      <c r="X47" s="40">
        <v>34686417.329999998</v>
      </c>
      <c r="Y47" s="40">
        <v>390.9</v>
      </c>
      <c r="Z47" s="40">
        <v>55942902.129999995</v>
      </c>
      <c r="AA47" s="40">
        <v>490.5</v>
      </c>
      <c r="AB47" s="40">
        <v>41548953.579999998</v>
      </c>
      <c r="AC47" s="40">
        <v>371.65</v>
      </c>
      <c r="AD47" s="64">
        <v>21830718.690000001</v>
      </c>
      <c r="AE47" s="40">
        <v>186</v>
      </c>
    </row>
    <row r="48" spans="1:31">
      <c r="A48" s="40">
        <v>853</v>
      </c>
      <c r="B48" s="40" t="s">
        <v>57</v>
      </c>
      <c r="C48" s="40" t="s">
        <v>100</v>
      </c>
      <c r="D48" s="40" t="s">
        <v>101</v>
      </c>
      <c r="E48" s="40" t="s">
        <v>347</v>
      </c>
      <c r="F48" s="40" t="s">
        <v>82</v>
      </c>
      <c r="G48" s="40" t="s">
        <v>3</v>
      </c>
      <c r="H48" s="40">
        <f t="shared" si="0"/>
        <v>75</v>
      </c>
      <c r="I48" s="40" t="s">
        <v>153</v>
      </c>
      <c r="J48" s="40" t="s">
        <v>84</v>
      </c>
      <c r="K48" s="40">
        <v>2</v>
      </c>
      <c r="L48" s="40" t="s">
        <v>85</v>
      </c>
      <c r="M48" s="40"/>
      <c r="N48" s="40" t="s">
        <v>462</v>
      </c>
      <c r="O48" s="40">
        <v>1007173</v>
      </c>
      <c r="P48" s="40">
        <v>3009634</v>
      </c>
      <c r="Q48" s="40" t="s">
        <v>348</v>
      </c>
      <c r="R48" s="40" t="s">
        <v>349</v>
      </c>
      <c r="S48" s="40" t="s">
        <v>350</v>
      </c>
      <c r="T48" s="40" t="s">
        <v>351</v>
      </c>
      <c r="U48" s="40">
        <v>4530503775783</v>
      </c>
      <c r="V48" s="40">
        <v>13</v>
      </c>
      <c r="W48" s="40">
        <v>3018315962</v>
      </c>
      <c r="X48" s="40">
        <v>402758775.72000045</v>
      </c>
      <c r="Y48" s="40">
        <v>5972.2</v>
      </c>
      <c r="Z48" s="40">
        <v>336642771</v>
      </c>
      <c r="AA48" s="40">
        <v>3435</v>
      </c>
      <c r="AB48" s="40">
        <v>16085770</v>
      </c>
      <c r="AC48" s="40">
        <v>122</v>
      </c>
      <c r="AD48" s="64">
        <v>19989675.369999997</v>
      </c>
      <c r="AE48" s="40">
        <v>87.4</v>
      </c>
    </row>
    <row r="49" spans="1:31">
      <c r="A49" s="40">
        <v>153</v>
      </c>
      <c r="B49" s="40" t="s">
        <v>57</v>
      </c>
      <c r="C49" s="40" t="s">
        <v>100</v>
      </c>
      <c r="D49" s="40" t="s">
        <v>101</v>
      </c>
      <c r="E49" s="40" t="s">
        <v>108</v>
      </c>
      <c r="F49" s="40" t="s">
        <v>82</v>
      </c>
      <c r="G49" s="40" t="s">
        <v>72</v>
      </c>
      <c r="H49" s="40">
        <f t="shared" si="0"/>
        <v>25</v>
      </c>
      <c r="I49" s="40" t="s">
        <v>94</v>
      </c>
      <c r="J49" s="40" t="s">
        <v>84</v>
      </c>
      <c r="K49" s="40">
        <v>17</v>
      </c>
      <c r="L49" s="40" t="s">
        <v>85</v>
      </c>
      <c r="M49" s="40"/>
      <c r="N49" s="40" t="s">
        <v>462</v>
      </c>
      <c r="O49" s="40">
        <v>1000899</v>
      </c>
      <c r="P49" s="40" t="s">
        <v>109</v>
      </c>
      <c r="Q49" s="40" t="s">
        <v>110</v>
      </c>
      <c r="R49" s="40" t="s">
        <v>111</v>
      </c>
      <c r="S49" s="40" t="s">
        <v>112</v>
      </c>
      <c r="T49" s="40" t="s">
        <v>113</v>
      </c>
      <c r="U49" s="40">
        <v>4420677552241</v>
      </c>
      <c r="V49" s="40">
        <v>13</v>
      </c>
      <c r="W49" s="40">
        <v>3323352002</v>
      </c>
      <c r="X49" s="40">
        <v>2639448</v>
      </c>
      <c r="Y49" s="40">
        <v>40</v>
      </c>
      <c r="Z49" s="40">
        <v>159911178</v>
      </c>
      <c r="AA49" s="40">
        <v>1686</v>
      </c>
      <c r="AB49" s="40">
        <v>44511517</v>
      </c>
      <c r="AC49" s="40">
        <v>519</v>
      </c>
      <c r="AD49" s="64">
        <v>19064290.819999997</v>
      </c>
      <c r="AE49" s="40">
        <v>207.45</v>
      </c>
    </row>
    <row r="50" spans="1:31">
      <c r="A50" s="40">
        <v>937</v>
      </c>
      <c r="B50" s="40" t="s">
        <v>57</v>
      </c>
      <c r="C50" s="40" t="s">
        <v>121</v>
      </c>
      <c r="D50" s="40" t="s">
        <v>122</v>
      </c>
      <c r="E50" s="40" t="s">
        <v>383</v>
      </c>
      <c r="F50" s="40" t="s">
        <v>82</v>
      </c>
      <c r="G50" s="40" t="s">
        <v>2</v>
      </c>
      <c r="H50" s="40">
        <f t="shared" si="0"/>
        <v>100</v>
      </c>
      <c r="I50" s="40" t="s">
        <v>115</v>
      </c>
      <c r="J50" s="40" t="s">
        <v>84</v>
      </c>
      <c r="K50" s="40">
        <v>3.1</v>
      </c>
      <c r="L50" s="40" t="s">
        <v>85</v>
      </c>
      <c r="M50" s="40"/>
      <c r="N50" s="40" t="s">
        <v>461</v>
      </c>
      <c r="O50" s="40">
        <v>1007693</v>
      </c>
      <c r="P50" s="40">
        <v>3010432</v>
      </c>
      <c r="Q50" s="40" t="s">
        <v>384</v>
      </c>
      <c r="R50" s="40" t="s">
        <v>385</v>
      </c>
      <c r="S50" s="40" t="s">
        <v>386</v>
      </c>
      <c r="T50" s="40" t="s">
        <v>387</v>
      </c>
      <c r="U50" s="40">
        <v>4530503856787</v>
      </c>
      <c r="V50" s="40">
        <v>13</v>
      </c>
      <c r="W50" s="40" t="s">
        <v>388</v>
      </c>
      <c r="X50" s="40">
        <v>1264778269</v>
      </c>
      <c r="Y50" s="40">
        <v>14419.9</v>
      </c>
      <c r="Z50" s="40">
        <v>2167331921</v>
      </c>
      <c r="AA50" s="40">
        <v>20729</v>
      </c>
      <c r="AB50" s="40">
        <v>1686221589</v>
      </c>
      <c r="AC50" s="40">
        <v>15332.45</v>
      </c>
      <c r="AD50" s="64">
        <v>17998521.190000001</v>
      </c>
      <c r="AE50" s="40">
        <v>210</v>
      </c>
    </row>
    <row r="51" spans="1:31">
      <c r="A51" s="40">
        <v>752</v>
      </c>
      <c r="B51" s="40" t="s">
        <v>60</v>
      </c>
      <c r="C51" s="40" t="s">
        <v>79</v>
      </c>
      <c r="D51" s="40" t="s">
        <v>80</v>
      </c>
      <c r="E51" s="40" t="s">
        <v>81</v>
      </c>
      <c r="F51" s="40" t="s">
        <v>82</v>
      </c>
      <c r="G51" s="40" t="s">
        <v>4</v>
      </c>
      <c r="H51" s="40">
        <f t="shared" si="0"/>
        <v>50</v>
      </c>
      <c r="I51" s="40" t="s">
        <v>136</v>
      </c>
      <c r="J51" s="40" t="s">
        <v>84</v>
      </c>
      <c r="K51" s="40">
        <v>12</v>
      </c>
      <c r="L51" s="40" t="s">
        <v>85</v>
      </c>
      <c r="M51" s="40"/>
      <c r="N51" s="40" t="s">
        <v>463</v>
      </c>
      <c r="O51" s="40">
        <v>1003280</v>
      </c>
      <c r="P51" s="40">
        <v>3011277</v>
      </c>
      <c r="Q51" s="60" t="s">
        <v>332</v>
      </c>
      <c r="R51" s="40" t="s">
        <v>333</v>
      </c>
      <c r="S51" s="40" t="s">
        <v>334</v>
      </c>
      <c r="T51" s="40" t="s">
        <v>332</v>
      </c>
      <c r="U51" s="40" t="s">
        <v>335</v>
      </c>
      <c r="V51" s="40">
        <v>13</v>
      </c>
      <c r="W51" s="40" t="s">
        <v>336</v>
      </c>
      <c r="X51" s="40">
        <v>31971594.399999999</v>
      </c>
      <c r="Y51" s="40">
        <v>392</v>
      </c>
      <c r="Z51" s="40">
        <v>57173981</v>
      </c>
      <c r="AA51" s="40">
        <v>661</v>
      </c>
      <c r="AB51" s="40">
        <v>47652421</v>
      </c>
      <c r="AC51" s="40">
        <v>559</v>
      </c>
      <c r="AD51" s="64">
        <v>17897664</v>
      </c>
      <c r="AE51" s="40">
        <v>190</v>
      </c>
    </row>
    <row r="52" spans="1:31">
      <c r="A52" s="40">
        <v>580</v>
      </c>
      <c r="B52" s="40" t="s">
        <v>57</v>
      </c>
      <c r="C52" s="40" t="s">
        <v>121</v>
      </c>
      <c r="D52" s="40" t="s">
        <v>122</v>
      </c>
      <c r="E52" s="40" t="s">
        <v>123</v>
      </c>
      <c r="F52" s="40" t="s">
        <v>82</v>
      </c>
      <c r="G52" s="40" t="s">
        <v>72</v>
      </c>
      <c r="H52" s="40">
        <f t="shared" si="0"/>
        <v>25</v>
      </c>
      <c r="I52" s="40" t="s">
        <v>94</v>
      </c>
      <c r="J52" s="40" t="s">
        <v>84</v>
      </c>
      <c r="K52" s="40">
        <v>10.025</v>
      </c>
      <c r="L52" s="40" t="s">
        <v>85</v>
      </c>
      <c r="M52" s="40"/>
      <c r="N52" s="40" t="s">
        <v>461</v>
      </c>
      <c r="O52" s="40">
        <v>1002534</v>
      </c>
      <c r="P52" s="40">
        <v>3002950</v>
      </c>
      <c r="Q52" s="40" t="s">
        <v>260</v>
      </c>
      <c r="R52" s="40" t="s">
        <v>261</v>
      </c>
      <c r="S52" s="40" t="s">
        <v>262</v>
      </c>
      <c r="T52" s="40" t="s">
        <v>263</v>
      </c>
      <c r="U52" s="40">
        <v>5320246004351</v>
      </c>
      <c r="V52" s="40">
        <v>13</v>
      </c>
      <c r="W52" s="40" t="s">
        <v>264</v>
      </c>
      <c r="X52" s="40">
        <v>18469731</v>
      </c>
      <c r="Y52" s="40">
        <v>871</v>
      </c>
      <c r="Z52" s="40">
        <v>57605076</v>
      </c>
      <c r="AA52" s="40">
        <v>585</v>
      </c>
      <c r="AB52" s="40">
        <v>14538753</v>
      </c>
      <c r="AC52" s="40">
        <v>170</v>
      </c>
      <c r="AD52" s="64">
        <v>17341148.370000001</v>
      </c>
      <c r="AE52" s="40">
        <v>200</v>
      </c>
    </row>
    <row r="53" spans="1:31">
      <c r="A53" s="40">
        <v>158</v>
      </c>
      <c r="B53" s="40" t="s">
        <v>57</v>
      </c>
      <c r="C53" s="40" t="s">
        <v>121</v>
      </c>
      <c r="D53" s="40" t="s">
        <v>122</v>
      </c>
      <c r="E53" s="40" t="s">
        <v>123</v>
      </c>
      <c r="F53" s="40" t="s">
        <v>82</v>
      </c>
      <c r="G53" s="40" t="s">
        <v>72</v>
      </c>
      <c r="H53" s="40">
        <f t="shared" si="0"/>
        <v>25</v>
      </c>
      <c r="I53" s="40" t="s">
        <v>94</v>
      </c>
      <c r="J53" s="40" t="s">
        <v>84</v>
      </c>
      <c r="K53" s="40">
        <v>8.2138888888888886</v>
      </c>
      <c r="L53" s="40" t="s">
        <v>85</v>
      </c>
      <c r="M53" s="40"/>
      <c r="N53" s="40" t="s">
        <v>461</v>
      </c>
      <c r="O53" s="40">
        <v>1000922</v>
      </c>
      <c r="P53" s="40">
        <v>3000920</v>
      </c>
      <c r="Q53" s="40" t="s">
        <v>124</v>
      </c>
      <c r="R53" s="40" t="s">
        <v>125</v>
      </c>
      <c r="S53" s="40" t="s">
        <v>126</v>
      </c>
      <c r="T53" s="40" t="s">
        <v>127</v>
      </c>
      <c r="U53" s="40">
        <v>5340118697359</v>
      </c>
      <c r="V53" s="40">
        <v>13</v>
      </c>
      <c r="W53" s="40" t="s">
        <v>128</v>
      </c>
      <c r="X53" s="40">
        <v>11771745</v>
      </c>
      <c r="Y53" s="40">
        <v>170</v>
      </c>
      <c r="Z53" s="40">
        <v>78394079</v>
      </c>
      <c r="AA53" s="40">
        <v>601</v>
      </c>
      <c r="AB53" s="40">
        <v>172327670</v>
      </c>
      <c r="AC53" s="40">
        <v>1849</v>
      </c>
      <c r="AD53" s="64">
        <v>16284376.319999998</v>
      </c>
      <c r="AE53" s="40">
        <v>190</v>
      </c>
    </row>
    <row r="54" spans="1:31">
      <c r="A54" s="40" t="s">
        <v>78</v>
      </c>
      <c r="B54" s="40" t="s">
        <v>60</v>
      </c>
      <c r="C54" s="40" t="s">
        <v>79</v>
      </c>
      <c r="D54" s="40" t="s">
        <v>80</v>
      </c>
      <c r="E54" s="40" t="s">
        <v>81</v>
      </c>
      <c r="F54" s="40" t="s">
        <v>82</v>
      </c>
      <c r="G54" s="40" t="s">
        <v>72</v>
      </c>
      <c r="H54" s="40">
        <f t="shared" si="0"/>
        <v>25</v>
      </c>
      <c r="I54" s="40" t="s">
        <v>83</v>
      </c>
      <c r="J54" s="40" t="s">
        <v>84</v>
      </c>
      <c r="K54" s="40">
        <v>12</v>
      </c>
      <c r="L54" s="40" t="s">
        <v>85</v>
      </c>
      <c r="M54" s="40"/>
      <c r="N54" s="40" t="s">
        <v>463</v>
      </c>
      <c r="O54" s="40">
        <v>1007647</v>
      </c>
      <c r="P54" s="40">
        <v>3011906</v>
      </c>
      <c r="Q54" s="40" t="s">
        <v>379</v>
      </c>
      <c r="R54" s="40" t="s">
        <v>380</v>
      </c>
      <c r="S54" s="40" t="s">
        <v>381</v>
      </c>
      <c r="T54" s="40" t="s">
        <v>382</v>
      </c>
      <c r="U54" s="40">
        <v>3510297337503</v>
      </c>
      <c r="V54" s="40">
        <v>13</v>
      </c>
      <c r="W54" s="40">
        <v>3016831840</v>
      </c>
      <c r="X54" s="40">
        <v>16081544.199999999</v>
      </c>
      <c r="Y54" s="40">
        <v>176.7</v>
      </c>
      <c r="Z54" s="40">
        <v>41696899.75</v>
      </c>
      <c r="AA54" s="40">
        <v>368.45</v>
      </c>
      <c r="AB54" s="40">
        <v>21747150</v>
      </c>
      <c r="AC54" s="40">
        <v>193</v>
      </c>
      <c r="AD54" s="64">
        <v>14877581</v>
      </c>
      <c r="AE54" s="40">
        <v>135</v>
      </c>
    </row>
    <row r="55" spans="1:31">
      <c r="A55" s="40" t="s">
        <v>78</v>
      </c>
      <c r="B55" s="40" t="s">
        <v>60</v>
      </c>
      <c r="C55" s="40" t="s">
        <v>79</v>
      </c>
      <c r="D55" s="40" t="s">
        <v>80</v>
      </c>
      <c r="E55" s="40" t="s">
        <v>81</v>
      </c>
      <c r="F55" s="40" t="s">
        <v>82</v>
      </c>
      <c r="G55" s="40" t="s">
        <v>72</v>
      </c>
      <c r="H55" s="40">
        <f t="shared" si="0"/>
        <v>25</v>
      </c>
      <c r="I55" s="40" t="s">
        <v>83</v>
      </c>
      <c r="J55" s="40" t="s">
        <v>84</v>
      </c>
      <c r="K55" s="40">
        <v>12</v>
      </c>
      <c r="L55" s="40" t="s">
        <v>85</v>
      </c>
      <c r="M55" s="40"/>
      <c r="N55" s="40" t="s">
        <v>463</v>
      </c>
      <c r="O55" s="40">
        <v>1000123</v>
      </c>
      <c r="P55" s="40">
        <v>3000123</v>
      </c>
      <c r="Q55" s="40" t="s">
        <v>86</v>
      </c>
      <c r="R55" s="40" t="s">
        <v>87</v>
      </c>
      <c r="S55" s="40" t="s">
        <v>88</v>
      </c>
      <c r="T55" s="40" t="s">
        <v>89</v>
      </c>
      <c r="U55" s="40">
        <v>3510194238011</v>
      </c>
      <c r="V55" s="40">
        <v>13</v>
      </c>
      <c r="W55" s="40" t="s">
        <v>90</v>
      </c>
      <c r="X55" s="40">
        <v>11800800</v>
      </c>
      <c r="Y55" s="40">
        <v>95</v>
      </c>
      <c r="Z55" s="40" t="s">
        <v>91</v>
      </c>
      <c r="AA55" s="40" t="s">
        <v>91</v>
      </c>
      <c r="AB55" s="40">
        <v>33871404</v>
      </c>
      <c r="AC55" s="40">
        <v>420</v>
      </c>
      <c r="AD55" s="64">
        <v>14824838.300000001</v>
      </c>
      <c r="AE55" s="40">
        <v>179</v>
      </c>
    </row>
    <row r="56" spans="1:31">
      <c r="A56" s="40">
        <v>639</v>
      </c>
      <c r="B56" s="40" t="s">
        <v>60</v>
      </c>
      <c r="C56" s="40" t="s">
        <v>215</v>
      </c>
      <c r="D56" s="40" t="s">
        <v>216</v>
      </c>
      <c r="E56" s="40" t="s">
        <v>215</v>
      </c>
      <c r="F56" s="40" t="s">
        <v>82</v>
      </c>
      <c r="G56" s="40" t="s">
        <v>72</v>
      </c>
      <c r="H56" s="40">
        <f t="shared" si="0"/>
        <v>25</v>
      </c>
      <c r="I56" s="40" t="s">
        <v>94</v>
      </c>
      <c r="J56" s="40" t="s">
        <v>84</v>
      </c>
      <c r="K56" s="40">
        <v>12</v>
      </c>
      <c r="L56" s="40" t="s">
        <v>85</v>
      </c>
      <c r="M56" s="40"/>
      <c r="N56" s="40" t="s">
        <v>459</v>
      </c>
      <c r="O56" s="40">
        <v>1002665</v>
      </c>
      <c r="P56" s="40">
        <v>3003227</v>
      </c>
      <c r="Q56" s="40" t="s">
        <v>286</v>
      </c>
      <c r="R56" s="40" t="s">
        <v>218</v>
      </c>
      <c r="S56" s="40" t="s">
        <v>287</v>
      </c>
      <c r="T56" s="40" t="s">
        <v>288</v>
      </c>
      <c r="U56" s="40" t="s">
        <v>289</v>
      </c>
      <c r="V56" s="40">
        <v>15</v>
      </c>
      <c r="W56" s="40" t="s">
        <v>290</v>
      </c>
      <c r="X56" s="40" t="s">
        <v>291</v>
      </c>
      <c r="Y56" s="40" t="s">
        <v>292</v>
      </c>
      <c r="Z56" s="40" t="s">
        <v>293</v>
      </c>
      <c r="AA56" s="40" t="s">
        <v>294</v>
      </c>
      <c r="AB56" s="40">
        <v>39797181.090000004</v>
      </c>
      <c r="AC56" s="40">
        <v>284.3</v>
      </c>
      <c r="AD56" s="64">
        <v>13793773</v>
      </c>
      <c r="AE56" s="40">
        <v>96.25</v>
      </c>
    </row>
    <row r="57" spans="1:31">
      <c r="A57" s="40">
        <v>596</v>
      </c>
      <c r="B57" s="40" t="s">
        <v>57</v>
      </c>
      <c r="C57" s="40" t="s">
        <v>100</v>
      </c>
      <c r="D57" s="40" t="s">
        <v>101</v>
      </c>
      <c r="E57" s="40" t="s">
        <v>100</v>
      </c>
      <c r="F57" s="40" t="s">
        <v>82</v>
      </c>
      <c r="G57" s="40" t="s">
        <v>72</v>
      </c>
      <c r="H57" s="40">
        <f t="shared" si="0"/>
        <v>25</v>
      </c>
      <c r="I57" s="40" t="s">
        <v>94</v>
      </c>
      <c r="J57" s="40" t="s">
        <v>84</v>
      </c>
      <c r="K57" s="40">
        <v>10</v>
      </c>
      <c r="L57" s="40" t="s">
        <v>85</v>
      </c>
      <c r="M57" s="40"/>
      <c r="N57" s="40" t="s">
        <v>462</v>
      </c>
      <c r="O57" s="40">
        <v>1002572</v>
      </c>
      <c r="P57" s="40" t="s">
        <v>270</v>
      </c>
      <c r="Q57" s="40" t="s">
        <v>271</v>
      </c>
      <c r="R57" s="40" t="s">
        <v>272</v>
      </c>
      <c r="S57" s="40" t="s">
        <v>273</v>
      </c>
      <c r="T57" s="40" t="s">
        <v>274</v>
      </c>
      <c r="U57" s="40">
        <v>4540209359587</v>
      </c>
      <c r="V57" s="40">
        <v>13</v>
      </c>
      <c r="W57" s="40">
        <v>3003214654</v>
      </c>
      <c r="X57" s="40">
        <v>100922605</v>
      </c>
      <c r="Y57" s="40">
        <v>2177</v>
      </c>
      <c r="Z57" s="40">
        <v>139958784</v>
      </c>
      <c r="AA57" s="40">
        <v>1276</v>
      </c>
      <c r="AB57" s="40">
        <v>96610403</v>
      </c>
      <c r="AC57" s="40">
        <v>1025</v>
      </c>
      <c r="AD57" s="64">
        <v>13425843.579999998</v>
      </c>
      <c r="AE57" s="40">
        <v>136.30000000000001</v>
      </c>
    </row>
    <row r="58" spans="1:31">
      <c r="A58" s="40">
        <v>1006</v>
      </c>
      <c r="B58" s="40" t="s">
        <v>57</v>
      </c>
      <c r="C58" s="40" t="s">
        <v>92</v>
      </c>
      <c r="D58" s="40" t="s">
        <v>93</v>
      </c>
      <c r="E58" s="40" t="s">
        <v>201</v>
      </c>
      <c r="F58" s="40" t="s">
        <v>82</v>
      </c>
      <c r="G58" s="40" t="s">
        <v>4</v>
      </c>
      <c r="H58" s="40">
        <f t="shared" si="0"/>
        <v>50</v>
      </c>
      <c r="I58" s="40" t="s">
        <v>136</v>
      </c>
      <c r="J58" s="40" t="s">
        <v>84</v>
      </c>
      <c r="K58" s="40">
        <v>6</v>
      </c>
      <c r="L58" s="40" t="s">
        <v>85</v>
      </c>
      <c r="M58" s="40"/>
      <c r="N58" s="40" t="s">
        <v>462</v>
      </c>
      <c r="O58" s="40">
        <v>1001810</v>
      </c>
      <c r="P58" s="40">
        <v>3005216</v>
      </c>
      <c r="Q58" s="40" t="s">
        <v>202</v>
      </c>
      <c r="R58" s="40" t="s">
        <v>203</v>
      </c>
      <c r="S58" s="40" t="s">
        <v>204</v>
      </c>
      <c r="T58" s="40" t="s">
        <v>205</v>
      </c>
      <c r="U58" s="40">
        <v>4180206052103</v>
      </c>
      <c r="V58" s="40">
        <v>13</v>
      </c>
      <c r="W58" s="40">
        <v>3333542119</v>
      </c>
      <c r="X58" s="40" t="s">
        <v>206</v>
      </c>
      <c r="Y58" s="40">
        <v>272</v>
      </c>
      <c r="Z58" s="40">
        <v>58809131.919999942</v>
      </c>
      <c r="AA58" s="40">
        <v>478</v>
      </c>
      <c r="AB58" s="40" t="s">
        <v>207</v>
      </c>
      <c r="AC58" s="40">
        <v>445</v>
      </c>
      <c r="AD58" s="64">
        <v>13257947</v>
      </c>
      <c r="AE58" s="40">
        <v>148</v>
      </c>
    </row>
    <row r="59" spans="1:31">
      <c r="A59" s="40">
        <v>10</v>
      </c>
      <c r="B59" s="40" t="s">
        <v>181</v>
      </c>
      <c r="C59" s="40" t="s">
        <v>182</v>
      </c>
      <c r="D59" s="40" t="s">
        <v>183</v>
      </c>
      <c r="E59" s="40" t="s">
        <v>184</v>
      </c>
      <c r="F59" s="40" t="s">
        <v>82</v>
      </c>
      <c r="G59" s="40" t="s">
        <v>72</v>
      </c>
      <c r="H59" s="40">
        <f t="shared" si="0"/>
        <v>25</v>
      </c>
      <c r="I59" s="40" t="s">
        <v>94</v>
      </c>
      <c r="J59" s="40" t="s">
        <v>185</v>
      </c>
      <c r="K59" s="40">
        <v>16</v>
      </c>
      <c r="L59" s="40" t="s">
        <v>85</v>
      </c>
      <c r="M59" s="40"/>
      <c r="N59" s="40" t="s">
        <v>457</v>
      </c>
      <c r="O59" s="40">
        <v>1002714</v>
      </c>
      <c r="P59" s="40"/>
      <c r="Q59" s="40" t="s">
        <v>296</v>
      </c>
      <c r="R59" s="40" t="s">
        <v>297</v>
      </c>
      <c r="S59" s="40" t="s">
        <v>298</v>
      </c>
      <c r="T59" s="40" t="s">
        <v>299</v>
      </c>
      <c r="U59" s="40" t="s">
        <v>300</v>
      </c>
      <c r="V59" s="40">
        <v>13</v>
      </c>
      <c r="W59" s="40">
        <v>3006880131</v>
      </c>
      <c r="X59" s="40">
        <v>103199078.22999997</v>
      </c>
      <c r="Y59" s="40">
        <v>1197.3999999999996</v>
      </c>
      <c r="Z59" s="40">
        <v>60535036.159999996</v>
      </c>
      <c r="AA59" s="40">
        <v>545</v>
      </c>
      <c r="AB59" s="40">
        <v>54641048.329999976</v>
      </c>
      <c r="AC59" s="40">
        <v>520</v>
      </c>
      <c r="AD59" s="64">
        <v>8251694.8400000008</v>
      </c>
      <c r="AE59" s="40">
        <v>85.75</v>
      </c>
    </row>
    <row r="60" spans="1:31">
      <c r="A60" s="40">
        <v>883</v>
      </c>
      <c r="B60" s="40" t="s">
        <v>57</v>
      </c>
      <c r="C60" s="40" t="s">
        <v>100</v>
      </c>
      <c r="D60" s="40" t="s">
        <v>101</v>
      </c>
      <c r="E60" s="40" t="s">
        <v>357</v>
      </c>
      <c r="F60" s="40" t="s">
        <v>82</v>
      </c>
      <c r="G60" s="40" t="s">
        <v>72</v>
      </c>
      <c r="H60" s="40">
        <f t="shared" si="0"/>
        <v>25</v>
      </c>
      <c r="I60" s="40" t="s">
        <v>94</v>
      </c>
      <c r="J60" s="40" t="s">
        <v>84</v>
      </c>
      <c r="K60" s="40">
        <v>2</v>
      </c>
      <c r="L60" s="40" t="s">
        <v>85</v>
      </c>
      <c r="M60" s="40"/>
      <c r="N60" s="40" t="s">
        <v>462</v>
      </c>
      <c r="O60" s="40">
        <v>1007368</v>
      </c>
      <c r="P60" s="40" t="s">
        <v>358</v>
      </c>
      <c r="Q60" s="40" t="s">
        <v>359</v>
      </c>
      <c r="R60" s="40" t="s">
        <v>360</v>
      </c>
      <c r="S60" s="40" t="s">
        <v>361</v>
      </c>
      <c r="T60" s="40" t="s">
        <v>362</v>
      </c>
      <c r="U60" s="40">
        <v>4420638696711</v>
      </c>
      <c r="V60" s="40">
        <v>13</v>
      </c>
      <c r="W60" s="40">
        <v>3002364633</v>
      </c>
      <c r="X60" s="40">
        <v>148601243</v>
      </c>
      <c r="Y60" s="40">
        <v>2358</v>
      </c>
      <c r="Z60" s="40">
        <v>325459617</v>
      </c>
      <c r="AA60" s="40">
        <v>3128</v>
      </c>
      <c r="AB60" s="40">
        <v>61758257</v>
      </c>
      <c r="AC60" s="40">
        <v>615</v>
      </c>
      <c r="AD60" s="64">
        <v>7411100.6600000001</v>
      </c>
      <c r="AE60" s="40">
        <v>42.5</v>
      </c>
    </row>
    <row r="61" spans="1:31">
      <c r="A61" s="40">
        <v>1008</v>
      </c>
      <c r="B61" s="40" t="s">
        <v>57</v>
      </c>
      <c r="C61" s="40" t="s">
        <v>100</v>
      </c>
      <c r="D61" s="40" t="s">
        <v>101</v>
      </c>
      <c r="E61" s="40" t="s">
        <v>108</v>
      </c>
      <c r="F61" s="40" t="s">
        <v>82</v>
      </c>
      <c r="G61" s="40" t="s">
        <v>72</v>
      </c>
      <c r="H61" s="40">
        <f t="shared" si="0"/>
        <v>25</v>
      </c>
      <c r="I61" s="40" t="s">
        <v>94</v>
      </c>
      <c r="J61" s="40" t="s">
        <v>84</v>
      </c>
      <c r="K61" s="40">
        <v>0</v>
      </c>
      <c r="L61" s="40" t="s">
        <v>85</v>
      </c>
      <c r="M61" s="40"/>
      <c r="N61" s="40" t="s">
        <v>462</v>
      </c>
      <c r="O61" s="40">
        <v>1009527</v>
      </c>
      <c r="P61" s="40">
        <v>3012088</v>
      </c>
      <c r="Q61" s="40" t="s">
        <v>418</v>
      </c>
      <c r="R61" s="40" t="s">
        <v>419</v>
      </c>
      <c r="S61" s="40" t="s">
        <v>420</v>
      </c>
      <c r="T61" s="40" t="s">
        <v>421</v>
      </c>
      <c r="U61" s="40" t="s">
        <v>422</v>
      </c>
      <c r="V61" s="40">
        <v>13</v>
      </c>
      <c r="W61" s="40">
        <v>3332900257</v>
      </c>
      <c r="X61" s="40">
        <v>0</v>
      </c>
      <c r="Y61" s="40">
        <v>0</v>
      </c>
      <c r="Z61" s="40">
        <v>0</v>
      </c>
      <c r="AA61" s="40">
        <v>0</v>
      </c>
      <c r="AB61" s="40" t="s">
        <v>91</v>
      </c>
      <c r="AC61" s="40" t="s">
        <v>91</v>
      </c>
      <c r="AD61" s="64">
        <v>7091191</v>
      </c>
      <c r="AE61" s="40">
        <v>55</v>
      </c>
    </row>
    <row r="62" spans="1:31">
      <c r="A62" s="40">
        <v>417</v>
      </c>
      <c r="B62" s="40" t="s">
        <v>60</v>
      </c>
      <c r="C62" s="40" t="s">
        <v>79</v>
      </c>
      <c r="D62" s="40" t="s">
        <v>208</v>
      </c>
      <c r="E62" s="40" t="s">
        <v>209</v>
      </c>
      <c r="F62" s="40" t="s">
        <v>82</v>
      </c>
      <c r="G62" s="40" t="s">
        <v>2</v>
      </c>
      <c r="H62" s="40">
        <f t="shared" si="0"/>
        <v>100</v>
      </c>
      <c r="I62" s="40" t="s">
        <v>115</v>
      </c>
      <c r="J62" s="40" t="s">
        <v>84</v>
      </c>
      <c r="K62" s="40">
        <v>6.9</v>
      </c>
      <c r="L62" s="40" t="s">
        <v>85</v>
      </c>
      <c r="M62" s="40"/>
      <c r="N62" s="40" t="s">
        <v>460</v>
      </c>
      <c r="O62" s="40">
        <v>1002199</v>
      </c>
      <c r="P62" s="40">
        <v>3011108</v>
      </c>
      <c r="Q62" s="60" t="s">
        <v>210</v>
      </c>
      <c r="R62" s="40" t="s">
        <v>211</v>
      </c>
      <c r="S62" s="40" t="s">
        <v>212</v>
      </c>
      <c r="T62" s="40" t="s">
        <v>213</v>
      </c>
      <c r="U62" s="40">
        <v>3640208222591</v>
      </c>
      <c r="V62" s="40">
        <v>13</v>
      </c>
      <c r="W62" s="40" t="s">
        <v>214</v>
      </c>
      <c r="X62" s="40" t="s">
        <v>91</v>
      </c>
      <c r="Y62" s="40" t="s">
        <v>91</v>
      </c>
      <c r="Z62" s="40">
        <v>256042039</v>
      </c>
      <c r="AA62" s="40">
        <v>2918</v>
      </c>
      <c r="AB62" s="40">
        <v>419762438</v>
      </c>
      <c r="AC62" s="40">
        <v>2971</v>
      </c>
      <c r="AD62" s="64">
        <v>6485296</v>
      </c>
      <c r="AE62" s="40">
        <v>80</v>
      </c>
    </row>
    <row r="63" spans="1:31">
      <c r="A63" s="40" t="s">
        <v>78</v>
      </c>
      <c r="B63" s="40" t="s">
        <v>60</v>
      </c>
      <c r="C63" s="40" t="s">
        <v>79</v>
      </c>
      <c r="D63" s="40" t="s">
        <v>80</v>
      </c>
      <c r="E63" s="40" t="s">
        <v>81</v>
      </c>
      <c r="F63" s="40" t="s">
        <v>82</v>
      </c>
      <c r="G63" s="40" t="s">
        <v>72</v>
      </c>
      <c r="H63" s="40">
        <f t="shared" si="0"/>
        <v>25</v>
      </c>
      <c r="I63" s="40" t="s">
        <v>83</v>
      </c>
      <c r="J63" s="40" t="s">
        <v>84</v>
      </c>
      <c r="K63" s="40">
        <v>12</v>
      </c>
      <c r="L63" s="40" t="s">
        <v>85</v>
      </c>
      <c r="M63" s="40"/>
      <c r="N63" s="40" t="s">
        <v>463</v>
      </c>
      <c r="O63" s="40">
        <v>1008190</v>
      </c>
      <c r="P63" s="40">
        <v>3010920</v>
      </c>
      <c r="Q63" s="40" t="s">
        <v>393</v>
      </c>
      <c r="R63" s="40" t="s">
        <v>394</v>
      </c>
      <c r="S63" s="40" t="s">
        <v>395</v>
      </c>
      <c r="T63" s="40" t="s">
        <v>396</v>
      </c>
      <c r="U63" s="40">
        <v>3110465594901</v>
      </c>
      <c r="V63" s="40">
        <v>13</v>
      </c>
      <c r="W63" s="40" t="s">
        <v>397</v>
      </c>
      <c r="X63" s="40" t="s">
        <v>91</v>
      </c>
      <c r="Y63" s="40" t="s">
        <v>91</v>
      </c>
      <c r="Z63" s="40">
        <v>37538231.600000001</v>
      </c>
      <c r="AA63" s="40">
        <v>348</v>
      </c>
      <c r="AB63" s="40">
        <v>11468473</v>
      </c>
      <c r="AC63" s="40">
        <v>130</v>
      </c>
      <c r="AD63" s="64">
        <v>6485296</v>
      </c>
      <c r="AE63" s="40">
        <v>80</v>
      </c>
    </row>
    <row r="64" spans="1:31">
      <c r="A64" s="40">
        <v>13</v>
      </c>
      <c r="B64" s="40" t="s">
        <v>181</v>
      </c>
      <c r="C64" s="40" t="s">
        <v>182</v>
      </c>
      <c r="D64" s="40" t="s">
        <v>183</v>
      </c>
      <c r="E64" s="40" t="s">
        <v>184</v>
      </c>
      <c r="F64" s="40" t="s">
        <v>82</v>
      </c>
      <c r="G64" s="40" t="s">
        <v>72</v>
      </c>
      <c r="H64" s="40">
        <f t="shared" si="0"/>
        <v>25</v>
      </c>
      <c r="I64" s="40" t="s">
        <v>94</v>
      </c>
      <c r="J64" s="40" t="s">
        <v>185</v>
      </c>
      <c r="K64" s="40">
        <v>15</v>
      </c>
      <c r="L64" s="40" t="s">
        <v>85</v>
      </c>
      <c r="M64" s="40"/>
      <c r="N64" s="40" t="s">
        <v>457</v>
      </c>
      <c r="O64" s="40">
        <v>1002722</v>
      </c>
      <c r="P64" s="40"/>
      <c r="Q64" s="40" t="s">
        <v>306</v>
      </c>
      <c r="R64" s="40" t="s">
        <v>307</v>
      </c>
      <c r="S64" s="40" t="s">
        <v>308</v>
      </c>
      <c r="T64" s="40" t="s">
        <v>309</v>
      </c>
      <c r="U64" s="40" t="s">
        <v>310</v>
      </c>
      <c r="V64" s="40">
        <v>13</v>
      </c>
      <c r="W64" s="40">
        <v>3156881230</v>
      </c>
      <c r="X64" s="40">
        <v>34794802.359999999</v>
      </c>
      <c r="Y64" s="40">
        <v>418.95</v>
      </c>
      <c r="Z64" s="40">
        <v>29705184.500000004</v>
      </c>
      <c r="AA64" s="40">
        <v>281.85000000000002</v>
      </c>
      <c r="AB64" s="40">
        <v>15931422.840000002</v>
      </c>
      <c r="AC64" s="40">
        <v>170</v>
      </c>
      <c r="AD64" s="64">
        <v>6422958.1400000006</v>
      </c>
      <c r="AE64" s="40">
        <v>62.5</v>
      </c>
    </row>
    <row r="65" spans="1:31">
      <c r="A65" s="40">
        <v>174</v>
      </c>
      <c r="B65" s="40" t="s">
        <v>57</v>
      </c>
      <c r="C65" s="40" t="s">
        <v>92</v>
      </c>
      <c r="D65" s="40" t="s">
        <v>93</v>
      </c>
      <c r="E65" s="40" t="s">
        <v>152</v>
      </c>
      <c r="F65" s="40" t="s">
        <v>82</v>
      </c>
      <c r="G65" s="40" t="s">
        <v>3</v>
      </c>
      <c r="H65" s="40">
        <f t="shared" si="0"/>
        <v>75</v>
      </c>
      <c r="I65" s="40" t="s">
        <v>153</v>
      </c>
      <c r="J65" s="40" t="s">
        <v>84</v>
      </c>
      <c r="K65" s="40">
        <v>7.6328767123287671</v>
      </c>
      <c r="L65" s="40" t="s">
        <v>85</v>
      </c>
      <c r="M65" s="40"/>
      <c r="N65" s="40" t="s">
        <v>462</v>
      </c>
      <c r="O65" s="40">
        <v>1000981</v>
      </c>
      <c r="P65" s="40" t="s">
        <v>154</v>
      </c>
      <c r="Q65" s="40" t="s">
        <v>155</v>
      </c>
      <c r="R65" s="40" t="s">
        <v>156</v>
      </c>
      <c r="S65" s="40" t="s">
        <v>157</v>
      </c>
      <c r="T65" s="40" t="s">
        <v>158</v>
      </c>
      <c r="U65" s="40">
        <v>4410231876813</v>
      </c>
      <c r="V65" s="40">
        <v>13</v>
      </c>
      <c r="W65" s="40">
        <v>3342129554</v>
      </c>
      <c r="X65" s="40">
        <v>224260459</v>
      </c>
      <c r="Y65" s="40">
        <v>5027</v>
      </c>
      <c r="Z65" s="40">
        <v>241220912</v>
      </c>
      <c r="AA65" s="40">
        <v>2274</v>
      </c>
      <c r="AB65" s="40">
        <v>49950659</v>
      </c>
      <c r="AC65" s="40">
        <v>460</v>
      </c>
      <c r="AD65" s="64">
        <v>4685982.0600000005</v>
      </c>
      <c r="AE65" s="40">
        <v>54.5</v>
      </c>
    </row>
    <row r="66" spans="1:31">
      <c r="A66" s="40">
        <v>5</v>
      </c>
      <c r="B66" s="40" t="s">
        <v>181</v>
      </c>
      <c r="C66" s="40" t="s">
        <v>182</v>
      </c>
      <c r="D66" s="40" t="s">
        <v>183</v>
      </c>
      <c r="E66" s="40" t="s">
        <v>184</v>
      </c>
      <c r="F66" s="40" t="s">
        <v>82</v>
      </c>
      <c r="G66" s="40" t="s">
        <v>72</v>
      </c>
      <c r="H66" s="40">
        <f t="shared" si="0"/>
        <v>25</v>
      </c>
      <c r="I66" s="40" t="s">
        <v>94</v>
      </c>
      <c r="J66" s="40" t="s">
        <v>185</v>
      </c>
      <c r="K66" s="40">
        <v>9</v>
      </c>
      <c r="L66" s="40" t="s">
        <v>85</v>
      </c>
      <c r="M66" s="40"/>
      <c r="N66" s="40" t="s">
        <v>457</v>
      </c>
      <c r="O66" s="40">
        <v>1001681</v>
      </c>
      <c r="P66" s="40"/>
      <c r="Q66" s="40" t="s">
        <v>196</v>
      </c>
      <c r="R66" s="40" t="s">
        <v>197</v>
      </c>
      <c r="S66" s="40" t="s">
        <v>198</v>
      </c>
      <c r="T66" s="40" t="s">
        <v>199</v>
      </c>
      <c r="U66" s="40" t="s">
        <v>200</v>
      </c>
      <c r="V66" s="40">
        <v>13</v>
      </c>
      <c r="W66" s="40">
        <v>3017825698</v>
      </c>
      <c r="X66" s="40">
        <v>19369568.75</v>
      </c>
      <c r="Y66" s="40">
        <v>180</v>
      </c>
      <c r="Z66" s="40">
        <v>16817537.999999996</v>
      </c>
      <c r="AA66" s="40">
        <v>184.65</v>
      </c>
      <c r="AB66" s="40">
        <v>5140141.47</v>
      </c>
      <c r="AC66" s="40">
        <v>60</v>
      </c>
      <c r="AD66" s="64">
        <v>4272831.51</v>
      </c>
      <c r="AE66" s="40">
        <v>48</v>
      </c>
    </row>
    <row r="67" spans="1:31">
      <c r="A67" s="40">
        <v>440</v>
      </c>
      <c r="B67" s="40" t="s">
        <v>60</v>
      </c>
      <c r="C67" s="40" t="s">
        <v>215</v>
      </c>
      <c r="D67" s="40" t="s">
        <v>216</v>
      </c>
      <c r="E67" s="40" t="s">
        <v>215</v>
      </c>
      <c r="F67" s="40" t="s">
        <v>82</v>
      </c>
      <c r="G67" s="40" t="s">
        <v>72</v>
      </c>
      <c r="H67" s="40">
        <f t="shared" si="0"/>
        <v>25</v>
      </c>
      <c r="I67" s="40" t="s">
        <v>94</v>
      </c>
      <c r="J67" s="40" t="s">
        <v>84</v>
      </c>
      <c r="K67" s="40">
        <v>12</v>
      </c>
      <c r="L67" s="40" t="s">
        <v>85</v>
      </c>
      <c r="M67" s="40"/>
      <c r="N67" s="40" t="s">
        <v>459</v>
      </c>
      <c r="O67" s="40">
        <v>1002239</v>
      </c>
      <c r="P67" s="40">
        <v>3002319</v>
      </c>
      <c r="Q67" s="40" t="s">
        <v>217</v>
      </c>
      <c r="R67" s="40" t="s">
        <v>218</v>
      </c>
      <c r="S67" s="40" t="s">
        <v>219</v>
      </c>
      <c r="T67" s="40" t="s">
        <v>220</v>
      </c>
      <c r="U67" s="40" t="s">
        <v>221</v>
      </c>
      <c r="V67" s="40">
        <v>15</v>
      </c>
      <c r="W67" s="40" t="s">
        <v>222</v>
      </c>
      <c r="X67" s="40">
        <v>55911986.259999998</v>
      </c>
      <c r="Y67" s="40" t="s">
        <v>223</v>
      </c>
      <c r="Z67" s="40">
        <v>90659461.099999994</v>
      </c>
      <c r="AA67" s="40" t="s">
        <v>224</v>
      </c>
      <c r="AB67" s="40">
        <v>12292169.76</v>
      </c>
      <c r="AC67" s="40">
        <v>64.599999999999994</v>
      </c>
      <c r="AD67" s="64">
        <v>4226670</v>
      </c>
      <c r="AE67" s="40">
        <v>28.4</v>
      </c>
    </row>
    <row r="68" spans="1:31">
      <c r="A68" s="40">
        <v>16</v>
      </c>
      <c r="B68" s="40" t="s">
        <v>181</v>
      </c>
      <c r="C68" s="40" t="s">
        <v>12</v>
      </c>
      <c r="D68" s="40" t="s">
        <v>183</v>
      </c>
      <c r="E68" s="40" t="s">
        <v>326</v>
      </c>
      <c r="F68" s="40" t="s">
        <v>82</v>
      </c>
      <c r="G68" s="40" t="s">
        <v>2</v>
      </c>
      <c r="H68" s="40">
        <f t="shared" si="0"/>
        <v>100</v>
      </c>
      <c r="I68" s="40" t="s">
        <v>115</v>
      </c>
      <c r="J68" s="40" t="s">
        <v>185</v>
      </c>
      <c r="K68" s="40">
        <v>6</v>
      </c>
      <c r="L68" s="40" t="s">
        <v>85</v>
      </c>
      <c r="M68" s="40"/>
      <c r="N68" s="40" t="s">
        <v>460</v>
      </c>
      <c r="O68" s="40">
        <v>1003160</v>
      </c>
      <c r="P68" s="40"/>
      <c r="Q68" s="60" t="s">
        <v>327</v>
      </c>
      <c r="R68" s="40" t="s">
        <v>328</v>
      </c>
      <c r="S68" s="40" t="s">
        <v>329</v>
      </c>
      <c r="T68" s="40" t="s">
        <v>330</v>
      </c>
      <c r="U68" s="40" t="s">
        <v>331</v>
      </c>
      <c r="V68" s="40">
        <v>13</v>
      </c>
      <c r="W68" s="40">
        <v>3006949021</v>
      </c>
      <c r="X68" s="40">
        <v>149428808.66999993</v>
      </c>
      <c r="Y68" s="40">
        <v>1194.5</v>
      </c>
      <c r="Z68" s="40">
        <v>34807308.480000004</v>
      </c>
      <c r="AA68" s="40">
        <v>480</v>
      </c>
      <c r="AB68" s="40">
        <v>852692640.50000024</v>
      </c>
      <c r="AC68" s="40">
        <v>8128.4499999999989</v>
      </c>
      <c r="AD68" s="64">
        <v>3627989.36</v>
      </c>
      <c r="AE68" s="40">
        <v>40</v>
      </c>
    </row>
    <row r="69" spans="1:31">
      <c r="A69" s="40">
        <v>218</v>
      </c>
      <c r="B69" s="40" t="s">
        <v>60</v>
      </c>
      <c r="C69" s="40" t="s">
        <v>159</v>
      </c>
      <c r="D69" s="40" t="s">
        <v>160</v>
      </c>
      <c r="E69" s="40" t="s">
        <v>61</v>
      </c>
      <c r="F69" s="40" t="s">
        <v>82</v>
      </c>
      <c r="G69" s="40" t="s">
        <v>72</v>
      </c>
      <c r="H69" s="40">
        <f t="shared" si="0"/>
        <v>25</v>
      </c>
      <c r="I69" s="40" t="s">
        <v>94</v>
      </c>
      <c r="J69" s="40" t="s">
        <v>161</v>
      </c>
      <c r="K69" s="40">
        <v>12</v>
      </c>
      <c r="L69" s="40" t="s">
        <v>85</v>
      </c>
      <c r="M69" s="40"/>
      <c r="N69" s="40" t="s">
        <v>457</v>
      </c>
      <c r="O69" s="40">
        <v>1001187</v>
      </c>
      <c r="P69" s="40">
        <v>3001183</v>
      </c>
      <c r="Q69" s="40" t="s">
        <v>162</v>
      </c>
      <c r="R69" s="40" t="s">
        <v>163</v>
      </c>
      <c r="S69" s="40" t="s">
        <v>164</v>
      </c>
      <c r="T69" s="40" t="s">
        <v>165</v>
      </c>
      <c r="U69" s="40">
        <v>3277876227922</v>
      </c>
      <c r="V69" s="40">
        <v>13</v>
      </c>
      <c r="W69" s="40">
        <v>3008679004</v>
      </c>
      <c r="X69" s="40">
        <v>37743904.850000001</v>
      </c>
      <c r="Y69" s="40">
        <v>514</v>
      </c>
      <c r="Z69" s="40">
        <v>46654051.789999999</v>
      </c>
      <c r="AA69" s="40">
        <v>558</v>
      </c>
      <c r="AB69" s="40">
        <v>14284845</v>
      </c>
      <c r="AC69" s="40">
        <v>170</v>
      </c>
      <c r="AD69" s="64">
        <v>3428289.75</v>
      </c>
      <c r="AE69" s="40">
        <v>40</v>
      </c>
    </row>
    <row r="70" spans="1:31">
      <c r="A70" s="40">
        <v>11</v>
      </c>
      <c r="B70" s="40" t="s">
        <v>181</v>
      </c>
      <c r="C70" s="40" t="s">
        <v>182</v>
      </c>
      <c r="D70" s="40" t="s">
        <v>183</v>
      </c>
      <c r="E70" s="40" t="s">
        <v>295</v>
      </c>
      <c r="F70" s="40" t="s">
        <v>82</v>
      </c>
      <c r="G70" s="40" t="s">
        <v>72</v>
      </c>
      <c r="H70" s="40">
        <f t="shared" si="0"/>
        <v>25</v>
      </c>
      <c r="I70" s="40" t="s">
        <v>94</v>
      </c>
      <c r="J70" s="40" t="s">
        <v>185</v>
      </c>
      <c r="K70" s="40">
        <v>16</v>
      </c>
      <c r="L70" s="40" t="s">
        <v>85</v>
      </c>
      <c r="M70" s="40"/>
      <c r="N70" s="40" t="s">
        <v>457</v>
      </c>
      <c r="O70" s="40">
        <v>1002715</v>
      </c>
      <c r="P70" s="40"/>
      <c r="Q70" s="40" t="s">
        <v>301</v>
      </c>
      <c r="R70" s="40" t="s">
        <v>302</v>
      </c>
      <c r="S70" s="40" t="s">
        <v>303</v>
      </c>
      <c r="T70" s="40" t="s">
        <v>304</v>
      </c>
      <c r="U70" s="40" t="s">
        <v>305</v>
      </c>
      <c r="V70" s="40">
        <v>13</v>
      </c>
      <c r="W70" s="40">
        <v>3006342439</v>
      </c>
      <c r="X70" s="40">
        <v>46513299.57</v>
      </c>
      <c r="Y70" s="40">
        <v>559.95000000000005</v>
      </c>
      <c r="Z70" s="40">
        <v>27052867.68</v>
      </c>
      <c r="AA70" s="40">
        <v>256.35000000000002</v>
      </c>
      <c r="AB70" s="40">
        <v>16090104.519999998</v>
      </c>
      <c r="AC70" s="40">
        <v>177.5</v>
      </c>
      <c r="AD70" s="64">
        <v>1787198.08</v>
      </c>
      <c r="AE70" s="40">
        <v>20.149999999999999</v>
      </c>
    </row>
    <row r="71" spans="1:31">
      <c r="A71" s="40">
        <v>4</v>
      </c>
      <c r="B71" s="40" t="s">
        <v>181</v>
      </c>
      <c r="C71" s="40" t="s">
        <v>182</v>
      </c>
      <c r="D71" s="40" t="s">
        <v>183</v>
      </c>
      <c r="E71" s="40" t="s">
        <v>184</v>
      </c>
      <c r="F71" s="40" t="s">
        <v>82</v>
      </c>
      <c r="G71" s="40" t="s">
        <v>72</v>
      </c>
      <c r="H71" s="40">
        <f t="shared" si="0"/>
        <v>25</v>
      </c>
      <c r="I71" s="40" t="s">
        <v>94</v>
      </c>
      <c r="J71" s="40" t="s">
        <v>185</v>
      </c>
      <c r="K71" s="40">
        <v>15</v>
      </c>
      <c r="L71" s="40" t="s">
        <v>85</v>
      </c>
      <c r="M71" s="40"/>
      <c r="N71" s="40" t="s">
        <v>457</v>
      </c>
      <c r="O71" s="40">
        <v>1001679</v>
      </c>
      <c r="P71" s="40"/>
      <c r="Q71" s="40" t="s">
        <v>191</v>
      </c>
      <c r="R71" s="40" t="s">
        <v>192</v>
      </c>
      <c r="S71" s="40" t="s">
        <v>193</v>
      </c>
      <c r="T71" s="40" t="s">
        <v>194</v>
      </c>
      <c r="U71" s="40" t="s">
        <v>195</v>
      </c>
      <c r="V71" s="40">
        <v>13</v>
      </c>
      <c r="W71" s="40">
        <v>3006899325</v>
      </c>
      <c r="X71" s="40">
        <v>19853125.170000002</v>
      </c>
      <c r="Y71" s="40">
        <v>220</v>
      </c>
      <c r="Z71" s="40">
        <v>20972312.43</v>
      </c>
      <c r="AA71" s="40">
        <v>235</v>
      </c>
      <c r="AB71" s="40">
        <v>4264309.7</v>
      </c>
      <c r="AC71" s="40">
        <v>50</v>
      </c>
      <c r="AD71" s="64">
        <v>1684168.13</v>
      </c>
      <c r="AE71" s="40">
        <v>13</v>
      </c>
    </row>
    <row r="72" spans="1:31">
      <c r="A72" s="40">
        <v>998</v>
      </c>
      <c r="B72" s="40" t="s">
        <v>60</v>
      </c>
      <c r="C72" s="40" t="s">
        <v>159</v>
      </c>
      <c r="D72" s="40" t="s">
        <v>160</v>
      </c>
      <c r="E72" s="40" t="s">
        <v>61</v>
      </c>
      <c r="F72" s="40" t="s">
        <v>82</v>
      </c>
      <c r="G72" s="40" t="s">
        <v>4</v>
      </c>
      <c r="H72" s="40">
        <f t="shared" si="0"/>
        <v>50</v>
      </c>
      <c r="I72" s="40" t="s">
        <v>136</v>
      </c>
      <c r="J72" s="40" t="s">
        <v>84</v>
      </c>
      <c r="K72" s="40">
        <v>12</v>
      </c>
      <c r="L72" s="40" t="s">
        <v>85</v>
      </c>
      <c r="M72" s="40"/>
      <c r="N72" s="40" t="s">
        <v>459</v>
      </c>
      <c r="O72" s="40">
        <v>1009205</v>
      </c>
      <c r="P72" s="40">
        <v>3011732</v>
      </c>
      <c r="Q72" s="40" t="s">
        <v>62</v>
      </c>
      <c r="R72" s="40" t="s">
        <v>408</v>
      </c>
      <c r="S72" s="40" t="s">
        <v>63</v>
      </c>
      <c r="T72" s="40" t="s">
        <v>409</v>
      </c>
      <c r="U72" s="40" t="s">
        <v>410</v>
      </c>
      <c r="V72" s="40">
        <v>15</v>
      </c>
      <c r="W72" s="40">
        <v>3008509752</v>
      </c>
      <c r="X72" s="40">
        <v>0</v>
      </c>
      <c r="Y72" s="40">
        <v>0</v>
      </c>
      <c r="Z72" s="40">
        <v>0</v>
      </c>
      <c r="AA72" s="40">
        <v>0</v>
      </c>
      <c r="AB72" s="40">
        <v>43535931</v>
      </c>
      <c r="AC72" s="40">
        <v>518</v>
      </c>
      <c r="AD72" s="64">
        <v>1294179.3800000001</v>
      </c>
      <c r="AE72" s="40">
        <v>15.1</v>
      </c>
    </row>
    <row r="73" spans="1:31">
      <c r="A73" s="40">
        <v>969</v>
      </c>
      <c r="B73" s="40" t="s">
        <v>57</v>
      </c>
      <c r="C73" s="40" t="s">
        <v>92</v>
      </c>
      <c r="D73" s="40" t="s">
        <v>93</v>
      </c>
      <c r="E73" s="40" t="s">
        <v>69</v>
      </c>
      <c r="F73" s="40" t="s">
        <v>82</v>
      </c>
      <c r="G73" s="40" t="s">
        <v>4</v>
      </c>
      <c r="H73" s="40">
        <f t="shared" si="0"/>
        <v>50</v>
      </c>
      <c r="I73" s="40" t="s">
        <v>136</v>
      </c>
      <c r="J73" s="40" t="s">
        <v>84</v>
      </c>
      <c r="K73" s="40">
        <v>1.6383561643835616</v>
      </c>
      <c r="L73" s="40" t="s">
        <v>85</v>
      </c>
      <c r="M73" s="40"/>
      <c r="N73" s="40" t="s">
        <v>462</v>
      </c>
      <c r="O73" s="40">
        <v>1008588</v>
      </c>
      <c r="P73" s="40" t="s">
        <v>398</v>
      </c>
      <c r="Q73" s="40" t="s">
        <v>65</v>
      </c>
      <c r="R73" s="40" t="s">
        <v>67</v>
      </c>
      <c r="S73" s="40" t="s">
        <v>68</v>
      </c>
      <c r="T73" s="40" t="s">
        <v>66</v>
      </c>
      <c r="U73" s="40">
        <v>4410387018339</v>
      </c>
      <c r="V73" s="40">
        <v>13</v>
      </c>
      <c r="W73" s="40">
        <v>3363286626</v>
      </c>
      <c r="X73" s="40">
        <v>0</v>
      </c>
      <c r="Y73" s="40">
        <v>0</v>
      </c>
      <c r="Z73" s="40">
        <v>253628400</v>
      </c>
      <c r="AA73" s="40">
        <v>1757</v>
      </c>
      <c r="AB73" s="40">
        <v>187102750</v>
      </c>
      <c r="AC73" s="40">
        <v>1393</v>
      </c>
      <c r="AD73" s="64">
        <v>0</v>
      </c>
      <c r="AE73" s="40">
        <v>0</v>
      </c>
    </row>
    <row r="74" spans="1:31">
      <c r="A74" s="40">
        <v>940</v>
      </c>
      <c r="B74" s="40" t="s">
        <v>57</v>
      </c>
      <c r="C74" s="40" t="s">
        <v>100</v>
      </c>
      <c r="D74" s="40" t="s">
        <v>101</v>
      </c>
      <c r="E74" s="40" t="s">
        <v>135</v>
      </c>
      <c r="F74" s="40" t="s">
        <v>82</v>
      </c>
      <c r="G74" s="40" t="s">
        <v>3</v>
      </c>
      <c r="H74" s="40">
        <f t="shared" si="0"/>
        <v>75</v>
      </c>
      <c r="I74" s="40" t="s">
        <v>153</v>
      </c>
      <c r="J74" s="40" t="s">
        <v>84</v>
      </c>
      <c r="K74" s="40">
        <v>1</v>
      </c>
      <c r="L74" s="40" t="s">
        <v>85</v>
      </c>
      <c r="M74" s="40"/>
      <c r="N74" s="40" t="s">
        <v>462</v>
      </c>
      <c r="O74" s="40">
        <v>1007711</v>
      </c>
      <c r="P74" s="40">
        <v>3010457</v>
      </c>
      <c r="Q74" s="40" t="s">
        <v>389</v>
      </c>
      <c r="R74" s="40" t="s">
        <v>390</v>
      </c>
      <c r="S74" s="40" t="s">
        <v>391</v>
      </c>
      <c r="T74" s="40" t="s">
        <v>392</v>
      </c>
      <c r="U74" s="40">
        <v>4130347317177</v>
      </c>
      <c r="V74" s="40">
        <v>13</v>
      </c>
      <c r="W74" s="40">
        <v>3052342595</v>
      </c>
      <c r="X74" s="40">
        <v>38808697</v>
      </c>
      <c r="Y74" s="40">
        <v>582</v>
      </c>
      <c r="Z74" s="40">
        <v>20103787</v>
      </c>
      <c r="AA74" s="40">
        <v>241</v>
      </c>
      <c r="AB74" s="40">
        <v>31240783</v>
      </c>
      <c r="AC74" s="40">
        <v>366</v>
      </c>
      <c r="AD74" s="64">
        <v>0</v>
      </c>
      <c r="AE74" s="40">
        <v>0</v>
      </c>
    </row>
  </sheetData>
  <sheetProtection formatCells="0" formatColumns="0" formatRows="0" sort="0" autoFilter="0" pivotTables="0"/>
  <autoFilter ref="A17:AE74"/>
  <mergeCells count="1">
    <mergeCell ref="B1:AA1"/>
  </mergeCells>
  <conditionalFormatting sqref="B75:B1048576 B11:B16">
    <cfRule type="duplicateValues" dxfId="11" priority="206"/>
  </conditionalFormatting>
  <conditionalFormatting sqref="E75:E1048576 E11:E16">
    <cfRule type="duplicateValues" dxfId="10" priority="186"/>
  </conditionalFormatting>
  <conditionalFormatting sqref="O17">
    <cfRule type="duplicateValues" dxfId="9" priority="1"/>
    <cfRule type="duplicateValues" dxfId="8" priority="2"/>
  </conditionalFormatting>
  <conditionalFormatting sqref="O17:P17">
    <cfRule type="duplicateValues" dxfId="7" priority="3"/>
  </conditionalFormatting>
  <conditionalFormatting sqref="P17">
    <cfRule type="duplicateValues" dxfId="6" priority="4"/>
  </conditionalFormatting>
  <conditionalFormatting sqref="U17:V17">
    <cfRule type="duplicateValues" dxfId="5" priority="5"/>
  </conditionalFormatting>
  <conditionalFormatting sqref="A18:AE74">
    <cfRule type="duplicateValues" dxfId="4" priority="217"/>
    <cfRule type="duplicateValues" dxfId="3" priority="218"/>
  </conditionalFormatting>
  <conditionalFormatting sqref="F12:F16">
    <cfRule type="duplicateValues" dxfId="2" priority="221"/>
  </conditionalFormatting>
  <printOptions horizontalCentered="1"/>
  <pageMargins left="0.25" right="0.25" top="0.75" bottom="0.75" header="0.3" footer="0.3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1"/>
  <sheetViews>
    <sheetView topLeftCell="C2" workbookViewId="0">
      <selection activeCell="G5" sqref="G5:J21"/>
    </sheetView>
  </sheetViews>
  <sheetFormatPr defaultRowHeight="13.8"/>
  <cols>
    <col min="1" max="1" width="12.3984375" hidden="1" customWidth="1"/>
    <col min="2" max="2" width="26.296875" hidden="1" customWidth="1"/>
    <col min="3" max="3" width="3" bestFit="1" customWidth="1"/>
    <col min="7" max="7" width="16.5" bestFit="1" customWidth="1"/>
    <col min="8" max="8" width="16.5" customWidth="1"/>
    <col min="9" max="9" width="9.09765625" customWidth="1"/>
    <col min="10" max="10" width="18.5" customWidth="1"/>
    <col min="11" max="11" width="18.5" bestFit="1" customWidth="1"/>
    <col min="12" max="12" width="26.296875" bestFit="1" customWidth="1"/>
    <col min="13" max="13" width="11.296875" hidden="1" customWidth="1"/>
    <col min="14" max="14" width="26.296875" hidden="1" customWidth="1"/>
    <col min="15" max="15" width="11.296875" hidden="1" customWidth="1"/>
    <col min="16" max="16" width="30.8984375" hidden="1" customWidth="1"/>
    <col min="17" max="17" width="15.8984375" hidden="1" customWidth="1"/>
  </cols>
  <sheetData>
    <row r="3" spans="1:17" hidden="1">
      <c r="A3" s="57" t="s">
        <v>448</v>
      </c>
      <c r="B3" t="s">
        <v>450</v>
      </c>
      <c r="G3" s="57" t="s">
        <v>430</v>
      </c>
      <c r="H3" t="s">
        <v>453</v>
      </c>
      <c r="M3" s="57" t="s">
        <v>430</v>
      </c>
      <c r="N3" t="s">
        <v>453</v>
      </c>
    </row>
    <row r="4" spans="1:17">
      <c r="A4" s="58" t="s">
        <v>72</v>
      </c>
      <c r="B4" s="59">
        <v>31</v>
      </c>
    </row>
    <row r="5" spans="1:17">
      <c r="A5" s="58" t="s">
        <v>2</v>
      </c>
      <c r="B5" s="59">
        <v>11</v>
      </c>
      <c r="G5" s="57" t="s">
        <v>55</v>
      </c>
      <c r="H5" s="57" t="s">
        <v>6</v>
      </c>
      <c r="I5" t="s">
        <v>454</v>
      </c>
      <c r="J5" t="s">
        <v>455</v>
      </c>
      <c r="M5" s="57" t="s">
        <v>55</v>
      </c>
      <c r="N5" s="57" t="s">
        <v>6</v>
      </c>
      <c r="O5" s="57" t="s">
        <v>452</v>
      </c>
      <c r="P5" s="57" t="s">
        <v>454</v>
      </c>
      <c r="Q5" t="s">
        <v>455</v>
      </c>
    </row>
    <row r="6" spans="1:17">
      <c r="A6" s="58" t="s">
        <v>4</v>
      </c>
      <c r="B6" s="59">
        <v>8</v>
      </c>
      <c r="G6" t="s">
        <v>57</v>
      </c>
      <c r="I6" s="59">
        <v>32</v>
      </c>
      <c r="J6" s="66">
        <v>1650</v>
      </c>
      <c r="M6" t="s">
        <v>57</v>
      </c>
      <c r="P6" s="59">
        <v>32</v>
      </c>
      <c r="Q6" s="66">
        <v>1650</v>
      </c>
    </row>
    <row r="7" spans="1:17">
      <c r="A7" s="58" t="s">
        <v>3</v>
      </c>
      <c r="B7" s="59">
        <v>7</v>
      </c>
      <c r="H7" t="s">
        <v>100</v>
      </c>
      <c r="I7" s="59">
        <v>18</v>
      </c>
      <c r="J7" s="66">
        <v>675</v>
      </c>
      <c r="N7" t="s">
        <v>100</v>
      </c>
      <c r="P7" s="59">
        <v>18</v>
      </c>
      <c r="Q7" s="66">
        <v>675</v>
      </c>
    </row>
    <row r="8" spans="1:17">
      <c r="A8" s="58" t="s">
        <v>449</v>
      </c>
      <c r="B8" s="59">
        <v>57</v>
      </c>
      <c r="H8" t="s">
        <v>121</v>
      </c>
      <c r="I8" s="59">
        <v>7</v>
      </c>
      <c r="J8" s="66">
        <v>475</v>
      </c>
      <c r="N8" t="s">
        <v>121</v>
      </c>
      <c r="P8" s="59">
        <v>7</v>
      </c>
      <c r="Q8" s="66">
        <v>475</v>
      </c>
    </row>
    <row r="9" spans="1:17">
      <c r="H9" t="s">
        <v>92</v>
      </c>
      <c r="I9" s="59">
        <v>7</v>
      </c>
      <c r="J9" s="66">
        <v>500</v>
      </c>
      <c r="N9" t="s">
        <v>92</v>
      </c>
      <c r="P9" s="59">
        <v>7</v>
      </c>
      <c r="Q9" s="66">
        <v>500</v>
      </c>
    </row>
    <row r="10" spans="1:17">
      <c r="G10" t="s">
        <v>181</v>
      </c>
      <c r="I10" s="59">
        <v>12</v>
      </c>
      <c r="J10" s="66">
        <v>600</v>
      </c>
      <c r="M10" t="s">
        <v>181</v>
      </c>
      <c r="P10" s="59">
        <v>12</v>
      </c>
      <c r="Q10" s="66">
        <v>600</v>
      </c>
    </row>
    <row r="11" spans="1:17">
      <c r="H11" t="s">
        <v>182</v>
      </c>
      <c r="I11" s="59">
        <v>6</v>
      </c>
      <c r="J11" s="66">
        <v>150</v>
      </c>
      <c r="N11" t="s">
        <v>182</v>
      </c>
      <c r="P11" s="59">
        <v>6</v>
      </c>
      <c r="Q11" s="66">
        <v>150</v>
      </c>
    </row>
    <row r="12" spans="1:17">
      <c r="H12" t="s">
        <v>11</v>
      </c>
      <c r="I12" s="59">
        <v>3</v>
      </c>
      <c r="J12" s="66">
        <v>300</v>
      </c>
      <c r="N12" t="s">
        <v>11</v>
      </c>
      <c r="P12" s="59">
        <v>3</v>
      </c>
      <c r="Q12" s="66">
        <v>300</v>
      </c>
    </row>
    <row r="13" spans="1:17">
      <c r="H13" t="s">
        <v>13</v>
      </c>
      <c r="I13" s="59">
        <v>1</v>
      </c>
      <c r="J13" s="66">
        <v>25</v>
      </c>
      <c r="N13" t="s">
        <v>13</v>
      </c>
      <c r="P13" s="59">
        <v>1</v>
      </c>
      <c r="Q13" s="66">
        <v>25</v>
      </c>
    </row>
    <row r="14" spans="1:17">
      <c r="H14" t="s">
        <v>399</v>
      </c>
      <c r="I14" s="59">
        <v>1</v>
      </c>
      <c r="J14" s="66">
        <v>25</v>
      </c>
      <c r="N14" t="s">
        <v>399</v>
      </c>
      <c r="P14" s="59">
        <v>1</v>
      </c>
      <c r="Q14" s="66">
        <v>25</v>
      </c>
    </row>
    <row r="15" spans="1:17">
      <c r="H15" t="s">
        <v>12</v>
      </c>
      <c r="I15" s="59">
        <v>1</v>
      </c>
      <c r="J15" s="66">
        <v>100</v>
      </c>
      <c r="N15" t="s">
        <v>12</v>
      </c>
      <c r="P15" s="59">
        <v>1</v>
      </c>
      <c r="Q15" s="66">
        <v>100</v>
      </c>
    </row>
    <row r="16" spans="1:17">
      <c r="G16" t="s">
        <v>60</v>
      </c>
      <c r="I16" s="59">
        <v>13</v>
      </c>
      <c r="J16" s="66">
        <v>575</v>
      </c>
      <c r="M16" t="s">
        <v>60</v>
      </c>
      <c r="P16" s="59">
        <v>13</v>
      </c>
      <c r="Q16" s="66">
        <v>575</v>
      </c>
    </row>
    <row r="17" spans="7:17">
      <c r="H17" t="s">
        <v>79</v>
      </c>
      <c r="I17" s="59">
        <v>6</v>
      </c>
      <c r="J17" s="66">
        <v>300</v>
      </c>
      <c r="N17" t="s">
        <v>79</v>
      </c>
      <c r="P17" s="59">
        <v>6</v>
      </c>
      <c r="Q17" s="66">
        <v>300</v>
      </c>
    </row>
    <row r="18" spans="7:17">
      <c r="H18" t="s">
        <v>159</v>
      </c>
      <c r="I18" s="59">
        <v>3</v>
      </c>
      <c r="J18" s="66">
        <v>125</v>
      </c>
      <c r="N18" t="s">
        <v>159</v>
      </c>
      <c r="P18" s="59">
        <v>3</v>
      </c>
      <c r="Q18" s="66">
        <v>125</v>
      </c>
    </row>
    <row r="19" spans="7:17">
      <c r="H19" t="s">
        <v>215</v>
      </c>
      <c r="I19" s="59">
        <v>3</v>
      </c>
      <c r="J19" s="66">
        <v>75</v>
      </c>
      <c r="N19" t="s">
        <v>215</v>
      </c>
      <c r="P19" s="59">
        <v>3</v>
      </c>
      <c r="Q19" s="66">
        <v>75</v>
      </c>
    </row>
    <row r="20" spans="7:17">
      <c r="H20" t="s">
        <v>243</v>
      </c>
      <c r="I20" s="59">
        <v>1</v>
      </c>
      <c r="J20" s="66">
        <v>75</v>
      </c>
      <c r="N20" t="s">
        <v>243</v>
      </c>
      <c r="P20" s="59">
        <v>1</v>
      </c>
      <c r="Q20" s="66">
        <v>75</v>
      </c>
    </row>
    <row r="21" spans="7:17">
      <c r="G21" t="s">
        <v>449</v>
      </c>
      <c r="I21" s="59">
        <v>57</v>
      </c>
      <c r="J21" s="66">
        <v>2825</v>
      </c>
      <c r="M21" t="s">
        <v>449</v>
      </c>
      <c r="P21" s="59">
        <v>57</v>
      </c>
      <c r="Q21" s="66">
        <v>2825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D17" sqref="D17"/>
    </sheetView>
  </sheetViews>
  <sheetFormatPr defaultRowHeight="13.8"/>
  <cols>
    <col min="1" max="1" width="25.3984375" bestFit="1" customWidth="1"/>
    <col min="3" max="3" width="15.8984375" bestFit="1" customWidth="1"/>
    <col min="4" max="4" width="20.19921875" bestFit="1" customWidth="1"/>
    <col min="5" max="5" width="24" bestFit="1" customWidth="1"/>
    <col min="6" max="6" width="46.3984375" bestFit="1" customWidth="1"/>
  </cols>
  <sheetData>
    <row r="1" spans="1:7" ht="14.4" thickBot="1">
      <c r="A1" s="9" t="s">
        <v>7</v>
      </c>
      <c r="B1" s="10" t="s">
        <v>15</v>
      </c>
      <c r="C1" s="10" t="s">
        <v>16</v>
      </c>
      <c r="D1" s="10" t="s">
        <v>17</v>
      </c>
      <c r="E1" s="10" t="s">
        <v>18</v>
      </c>
      <c r="F1" s="11" t="s">
        <v>19</v>
      </c>
    </row>
    <row r="2" spans="1:7" ht="14.4" thickBot="1">
      <c r="A2" s="12" t="s">
        <v>20</v>
      </c>
      <c r="B2" s="13">
        <v>1000659</v>
      </c>
      <c r="C2" s="13">
        <v>3000659</v>
      </c>
      <c r="D2" s="13" t="s">
        <v>21</v>
      </c>
      <c r="E2" s="13" t="s">
        <v>22</v>
      </c>
      <c r="F2" s="13" t="s">
        <v>23</v>
      </c>
    </row>
    <row r="3" spans="1:7" ht="14.4" thickBot="1">
      <c r="A3" s="12" t="s">
        <v>20</v>
      </c>
      <c r="B3" s="13">
        <v>1000660</v>
      </c>
      <c r="C3" s="13">
        <v>3000660</v>
      </c>
      <c r="D3" s="13" t="s">
        <v>24</v>
      </c>
      <c r="E3" s="13" t="s">
        <v>25</v>
      </c>
      <c r="F3" s="13" t="s">
        <v>23</v>
      </c>
    </row>
    <row r="4" spans="1:7" ht="14.4" thickBot="1">
      <c r="A4" s="12" t="s">
        <v>20</v>
      </c>
      <c r="B4" s="15">
        <v>1000661</v>
      </c>
      <c r="C4" s="13">
        <v>3000661</v>
      </c>
      <c r="D4" s="13" t="s">
        <v>26</v>
      </c>
      <c r="E4" s="13" t="s">
        <v>25</v>
      </c>
      <c r="F4" s="13" t="s">
        <v>23</v>
      </c>
    </row>
    <row r="5" spans="1:7" ht="14.4" thickBot="1">
      <c r="A5" s="12" t="s">
        <v>20</v>
      </c>
      <c r="B5" s="13">
        <v>1000663</v>
      </c>
      <c r="C5" s="13">
        <v>3000663</v>
      </c>
      <c r="D5" s="13" t="s">
        <v>27</v>
      </c>
      <c r="E5" s="13" t="s">
        <v>28</v>
      </c>
      <c r="F5" s="13" t="s">
        <v>29</v>
      </c>
    </row>
    <row r="6" spans="1:7" ht="14.4" thickBot="1">
      <c r="A6" s="12" t="s">
        <v>20</v>
      </c>
      <c r="B6" s="13">
        <v>1000970</v>
      </c>
      <c r="C6" s="13">
        <v>3000968</v>
      </c>
      <c r="D6" s="13" t="s">
        <v>30</v>
      </c>
      <c r="E6" s="13" t="s">
        <v>31</v>
      </c>
      <c r="F6" s="13" t="s">
        <v>23</v>
      </c>
    </row>
    <row r="7" spans="1:7" ht="14.4" thickBot="1">
      <c r="A7" s="12" t="s">
        <v>20</v>
      </c>
      <c r="B7" s="13">
        <v>1001570</v>
      </c>
      <c r="C7" s="13">
        <v>3001566</v>
      </c>
      <c r="D7" s="13" t="s">
        <v>32</v>
      </c>
      <c r="E7" s="13" t="s">
        <v>33</v>
      </c>
      <c r="F7" s="13" t="s">
        <v>14</v>
      </c>
    </row>
    <row r="8" spans="1:7" ht="14.4" thickBot="1">
      <c r="A8" s="12" t="s">
        <v>20</v>
      </c>
      <c r="B8" s="15">
        <v>1001578</v>
      </c>
      <c r="C8" s="13">
        <v>3001574</v>
      </c>
      <c r="D8" s="13" t="s">
        <v>34</v>
      </c>
      <c r="E8" s="13" t="s">
        <v>35</v>
      </c>
      <c r="F8" s="13" t="s">
        <v>14</v>
      </c>
      <c r="G8" s="16" t="s">
        <v>23</v>
      </c>
    </row>
    <row r="9" spans="1:7" ht="14.4" thickBot="1">
      <c r="A9" s="12" t="s">
        <v>20</v>
      </c>
      <c r="B9" s="15">
        <v>1001579</v>
      </c>
      <c r="C9" s="13">
        <v>3001575</v>
      </c>
      <c r="D9" s="13" t="s">
        <v>36</v>
      </c>
      <c r="E9" s="13" t="s">
        <v>31</v>
      </c>
      <c r="F9" s="13" t="s">
        <v>23</v>
      </c>
    </row>
    <row r="10" spans="1:7" ht="14.4" thickBot="1">
      <c r="A10" s="12" t="s">
        <v>20</v>
      </c>
      <c r="B10" s="15">
        <v>1001580</v>
      </c>
      <c r="C10" s="13">
        <v>3001576</v>
      </c>
      <c r="D10" s="13" t="s">
        <v>37</v>
      </c>
      <c r="E10" s="13" t="s">
        <v>31</v>
      </c>
      <c r="F10" s="13" t="s">
        <v>23</v>
      </c>
    </row>
    <row r="11" spans="1:7" ht="14.4" thickBot="1">
      <c r="A11" s="12" t="s">
        <v>20</v>
      </c>
      <c r="B11" s="13">
        <v>1002447</v>
      </c>
      <c r="C11" s="13">
        <v>3002742</v>
      </c>
      <c r="D11" s="13" t="s">
        <v>38</v>
      </c>
      <c r="E11" s="13" t="s">
        <v>39</v>
      </c>
      <c r="F11" s="13" t="s">
        <v>23</v>
      </c>
    </row>
    <row r="12" spans="1:7" ht="14.4" thickBot="1">
      <c r="A12" s="12" t="s">
        <v>20</v>
      </c>
      <c r="B12" s="13">
        <v>1000717</v>
      </c>
      <c r="C12" s="13">
        <v>3000717</v>
      </c>
      <c r="D12" s="13" t="s">
        <v>40</v>
      </c>
      <c r="E12" s="13" t="s">
        <v>41</v>
      </c>
      <c r="F12" s="13" t="s">
        <v>14</v>
      </c>
    </row>
    <row r="13" spans="1:7" ht="14.4" thickBot="1">
      <c r="A13" s="12" t="s">
        <v>20</v>
      </c>
      <c r="B13" s="15">
        <v>1000818</v>
      </c>
      <c r="C13" s="13">
        <v>3000817</v>
      </c>
      <c r="D13" s="13" t="s">
        <v>42</v>
      </c>
      <c r="E13" s="13" t="s">
        <v>43</v>
      </c>
      <c r="F13" s="13" t="s">
        <v>14</v>
      </c>
    </row>
    <row r="14" spans="1:7" ht="14.4" thickBot="1">
      <c r="A14" s="12" t="s">
        <v>20</v>
      </c>
      <c r="B14" s="15">
        <v>1002474</v>
      </c>
      <c r="C14" s="13">
        <v>3002796</v>
      </c>
      <c r="D14" s="13" t="s">
        <v>44</v>
      </c>
      <c r="E14" s="13" t="s">
        <v>45</v>
      </c>
      <c r="F14" s="13" t="s">
        <v>14</v>
      </c>
      <c r="G14" s="16" t="s">
        <v>23</v>
      </c>
    </row>
    <row r="15" spans="1:7" ht="14.4" thickBot="1">
      <c r="A15" s="12" t="s">
        <v>46</v>
      </c>
      <c r="B15" s="13">
        <v>1000617</v>
      </c>
      <c r="C15" s="13">
        <v>3000617</v>
      </c>
      <c r="D15" s="13" t="s">
        <v>47</v>
      </c>
      <c r="E15" s="13"/>
      <c r="F15" s="13" t="s">
        <v>14</v>
      </c>
    </row>
    <row r="16" spans="1:7" ht="14.4" thickBot="1">
      <c r="A16" s="12" t="s">
        <v>46</v>
      </c>
      <c r="B16" s="13">
        <v>1002426</v>
      </c>
      <c r="C16" s="13">
        <v>3002694</v>
      </c>
      <c r="D16" s="13" t="s">
        <v>48</v>
      </c>
      <c r="E16" s="13"/>
      <c r="F16" s="13" t="s">
        <v>14</v>
      </c>
    </row>
    <row r="17" spans="1:6" ht="14.4" thickBot="1">
      <c r="A17" s="12" t="s">
        <v>49</v>
      </c>
      <c r="B17" s="13">
        <v>1000646</v>
      </c>
      <c r="C17" s="13">
        <v>3000646</v>
      </c>
      <c r="D17" s="13" t="s">
        <v>50</v>
      </c>
      <c r="E17" s="13"/>
      <c r="F17" s="13" t="s">
        <v>14</v>
      </c>
    </row>
    <row r="18" spans="1:6" ht="14.4" thickBot="1">
      <c r="A18" s="12" t="s">
        <v>49</v>
      </c>
      <c r="B18" s="13">
        <v>1000900</v>
      </c>
      <c r="C18" s="13">
        <v>3000898</v>
      </c>
      <c r="D18" s="13" t="s">
        <v>51</v>
      </c>
      <c r="E18" s="13"/>
      <c r="F18" s="13" t="s">
        <v>14</v>
      </c>
    </row>
    <row r="19" spans="1:6" ht="14.4" thickBot="1">
      <c r="A19" s="12" t="s">
        <v>49</v>
      </c>
      <c r="B19" s="13">
        <v>1002443</v>
      </c>
      <c r="C19" s="13">
        <v>3002733</v>
      </c>
      <c r="D19" s="13" t="s">
        <v>44</v>
      </c>
      <c r="E19" s="13"/>
      <c r="F19" s="13" t="s">
        <v>14</v>
      </c>
    </row>
    <row r="20" spans="1:6" ht="14.4" thickBot="1">
      <c r="A20" s="12" t="s">
        <v>49</v>
      </c>
      <c r="B20" s="13">
        <v>1002472</v>
      </c>
      <c r="C20" s="13">
        <v>3002792</v>
      </c>
      <c r="D20" s="13" t="s">
        <v>52</v>
      </c>
      <c r="E20" s="13"/>
      <c r="F20" s="13" t="s">
        <v>14</v>
      </c>
    </row>
    <row r="21" spans="1:6" ht="14.4">
      <c r="A21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rmLink xmlns="72edd2e5-1785-4d82-907f-1f7e7a7d4c51">
      <Url xsi:nil="true"/>
      <Description xsi:nil="true"/>
    </FormLink>
    <lcf76f155ced4ddcb4097134ff3c332f xmlns="72edd2e5-1785-4d82-907f-1f7e7a7d4c51">
      <Terms xmlns="http://schemas.microsoft.com/office/infopath/2007/PartnerControls"/>
    </lcf76f155ced4ddcb4097134ff3c332f>
    <TaxCatchAll xmlns="3e60b8ca-2524-4cd1-bb5e-5ad2d1469c2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7A4B8BE963AF45AA8F1BFAF162D6FB" ma:contentTypeVersion="21" ma:contentTypeDescription="Create a new document." ma:contentTypeScope="" ma:versionID="16ca9f64e227b5a6130a3823c2edbb3e">
  <xsd:schema xmlns:xsd="http://www.w3.org/2001/XMLSchema" xmlns:xs="http://www.w3.org/2001/XMLSchema" xmlns:p="http://schemas.microsoft.com/office/2006/metadata/properties" xmlns:ns2="3e60b8ca-2524-4cd1-bb5e-5ad2d1469c2e" xmlns:ns3="72edd2e5-1785-4d82-907f-1f7e7a7d4c51" targetNamespace="http://schemas.microsoft.com/office/2006/metadata/properties" ma:root="true" ma:fieldsID="ea9c3ed85a9e14f0808a80c1fd43ba9d" ns2:_="" ns3:_="">
    <xsd:import namespace="3e60b8ca-2524-4cd1-bb5e-5ad2d1469c2e"/>
    <xsd:import namespace="72edd2e5-1785-4d82-907f-1f7e7a7d4c5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2:TaxCatchAll" minOccurs="0"/>
                <xsd:element ref="ns3:lcf76f155ced4ddcb4097134ff3c332f" minOccurs="0"/>
                <xsd:element ref="ns3:FormLink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0b8ca-2524-4cd1-bb5e-5ad2d1469c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d44b184-5353-4cd9-b49c-8791a70a1fee}" ma:internalName="TaxCatchAll" ma:showField="CatchAllData" ma:web="3e60b8ca-2524-4cd1-bb5e-5ad2d1469c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dd2e5-1785-4d82-907f-1f7e7a7d4c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99cd408-54ad-4aa0-916b-935cb9ebe5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FormLink" ma:index="24" nillable="true" ma:displayName="Form Link" ma:format="Hyperlink" ma:internalName="Form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630E0B-84F2-4F90-8497-091CF7191B37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documentManagement/types"/>
    <ds:schemaRef ds:uri="72edd2e5-1785-4d82-907f-1f7e7a7d4c51"/>
    <ds:schemaRef ds:uri="http://purl.org/dc/dcmitype/"/>
    <ds:schemaRef ds:uri="http://schemas.openxmlformats.org/package/2006/metadata/core-properties"/>
    <ds:schemaRef ds:uri="3e60b8ca-2524-4cd1-bb5e-5ad2d1469c2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730AA38-EE37-487C-A440-8CD01FCD82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60b8ca-2524-4cd1-bb5e-5ad2d1469c2e"/>
    <ds:schemaRef ds:uri="72edd2e5-1785-4d82-907f-1f7e7a7d4c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8156FD-33DB-46CE-B56C-13B2FE6938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DCF list 2026</vt:lpstr>
      <vt:lpstr>Summary</vt:lpstr>
      <vt:lpstr>Sheet1</vt:lpstr>
      <vt:lpstr>Sheet2</vt:lpstr>
      <vt:lpstr>'DCF list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Chhatani</dc:creator>
  <cp:lastModifiedBy>Ali Husnain</cp:lastModifiedBy>
  <cp:lastPrinted>2026-04-02T11:04:37Z</cp:lastPrinted>
  <dcterms:created xsi:type="dcterms:W3CDTF">2024-06-03T11:35:58Z</dcterms:created>
  <dcterms:modified xsi:type="dcterms:W3CDTF">2026-06-30T15:44:59Z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0x0101000C7A4B8BE963AF45AA8F1BFAF162D6FB</vt:lpwstr>
  </property>
  <property fmtid="{D5CDD505-2E9C-101B-9397-08002B2CF9AE}" pid="3" name="MediaServiceImageTags">
    <vt:lpwstr/>
  </property>
</Properties>
</file>